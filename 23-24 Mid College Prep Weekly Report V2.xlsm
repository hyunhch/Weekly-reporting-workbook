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.sharepoint.com/sites/mesahome/Shared Documents/Staff - Data Analyst/2023-2024 Mid-Year/"/>
    </mc:Choice>
  </mc:AlternateContent>
  <xr:revisionPtr revIDLastSave="120" documentId="106_{D82A7FD0-D113-408A-824A-CE344B6998BB}" xr6:coauthVersionLast="47" xr6:coauthVersionMax="47" xr10:uidLastSave="{033D08BE-FC38-4394-9F7F-F0D2949BB99E}"/>
  <bookViews>
    <workbookView xWindow="28680" yWindow="-120" windowWidth="29040" windowHeight="15720" firstSheet="1" activeTab="2" xr2:uid="{0906FDAD-EB3D-40A3-B64B-D1BEEA810B76}"/>
  </bookViews>
  <sheets>
    <sheet name="Ref Tables" sheetId="1" state="hidden" r:id="rId1"/>
    <sheet name="Change Log" sheetId="4" r:id="rId2"/>
    <sheet name="Report Page" sheetId="34" r:id="rId3"/>
    <sheet name="Roster Page" sheetId="2" r:id="rId4"/>
    <sheet name="Cover Page" sheetId="3" r:id="rId5"/>
    <sheet name="Activity 1" sheetId="39" r:id="rId6"/>
    <sheet name="Activity 2" sheetId="40" r:id="rId7"/>
    <sheet name="Activity 3" sheetId="41" r:id="rId8"/>
    <sheet name="Activity 4" sheetId="42" r:id="rId9"/>
    <sheet name="Activity 5" sheetId="43" r:id="rId10"/>
    <sheet name="Activity 6" sheetId="44" r:id="rId11"/>
  </sheets>
  <functionGroups builtInGroupCount="19"/>
  <definedNames>
    <definedName name="ActivitiesList">ActivitiesTable[Practice]</definedName>
    <definedName name="CenterNames">CentersTable[MESA Center]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2" l="1"/>
  <c r="J9" i="2"/>
  <c r="J10" i="2"/>
  <c r="J11" i="2"/>
  <c r="J12" i="2"/>
  <c r="J13" i="2"/>
  <c r="J14" i="2"/>
  <c r="J15" i="2"/>
  <c r="J16" i="2"/>
  <c r="J17" i="2"/>
  <c r="J18" i="2"/>
  <c r="J7" i="2"/>
</calcChain>
</file>

<file path=xl/sharedStrings.xml><?xml version="1.0" encoding="utf-8"?>
<sst xmlns="http://schemas.openxmlformats.org/spreadsheetml/2006/main" count="803" uniqueCount="138">
  <si>
    <t>Logic Model Activity</t>
  </si>
  <si>
    <t>Practice</t>
  </si>
  <si>
    <t>MESA Center</t>
  </si>
  <si>
    <t>Ethnicity</t>
  </si>
  <si>
    <t>Gender</t>
  </si>
  <si>
    <t>Grade</t>
  </si>
  <si>
    <t>Student Recruitment/
Outreach</t>
  </si>
  <si>
    <t>Outreach Activities</t>
  </si>
  <si>
    <t>First Nations</t>
  </si>
  <si>
    <t>White</t>
  </si>
  <si>
    <t>Male</t>
  </si>
  <si>
    <t>Academic Enrichments</t>
  </si>
  <si>
    <t>In school: MESA Periods/ Intergrated MESA Curriculum</t>
  </si>
  <si>
    <t>Seattle</t>
  </si>
  <si>
    <t>Asian</t>
  </si>
  <si>
    <t>Female</t>
  </si>
  <si>
    <t>After School: MESA STEM Afterschool programs</t>
  </si>
  <si>
    <t>Spokane</t>
  </si>
  <si>
    <t>Black</t>
  </si>
  <si>
    <t>Other</t>
  </si>
  <si>
    <t>Summer Programs</t>
  </si>
  <si>
    <t>SW</t>
  </si>
  <si>
    <t>Latino</t>
  </si>
  <si>
    <t>Field Trips</t>
  </si>
  <si>
    <t>Tacoma</t>
  </si>
  <si>
    <t>AIAN</t>
  </si>
  <si>
    <t>Classroom STEM speakers</t>
  </si>
  <si>
    <t>YVTC</t>
  </si>
  <si>
    <t>NHPI</t>
  </si>
  <si>
    <t>Academic Supports</t>
  </si>
  <si>
    <t>Study Skills Training</t>
  </si>
  <si>
    <t>Mixed</t>
  </si>
  <si>
    <t>Tutoring</t>
  </si>
  <si>
    <t>Homework Assistance</t>
  </si>
  <si>
    <t>STEM Competitions</t>
  </si>
  <si>
    <t>MESA Day (for middle and high schools*)</t>
  </si>
  <si>
    <t>STEM Career Experiences</t>
  </si>
  <si>
    <t>Internships/Student Research Opportunity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</si>
  <si>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</si>
  <si>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</si>
  <si>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</si>
  <si>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</si>
  <si>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</si>
  <si>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</si>
  <si>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</si>
  <si>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Higher Education Workshops
(College Planning Days)</t>
  </si>
  <si>
    <t>College Site Visits</t>
  </si>
  <si>
    <t>Summer Transition Program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</si>
  <si>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</si>
  <si>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</si>
  <si>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</si>
  <si>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</si>
  <si>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</si>
  <si>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</si>
  <si>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</si>
  <si>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 1.0.1</t>
  </si>
  <si>
    <t>Fixed bug when adding a new activity sheet</t>
  </si>
  <si>
    <t>Select</t>
  </si>
  <si>
    <t>Center</t>
  </si>
  <si>
    <t>Name</t>
  </si>
  <si>
    <t>Date</t>
  </si>
  <si>
    <t>Description</t>
  </si>
  <si>
    <t>Total</t>
  </si>
  <si>
    <t>HNPI</t>
  </si>
  <si>
    <t>First</t>
  </si>
  <si>
    <t>Last</t>
  </si>
  <si>
    <t>School</t>
  </si>
  <si>
    <t>District</t>
  </si>
  <si>
    <t>Frodo</t>
  </si>
  <si>
    <t>Baggins</t>
  </si>
  <si>
    <t>Samwise</t>
  </si>
  <si>
    <t>Gamgee</t>
  </si>
  <si>
    <t>Peregrin</t>
  </si>
  <si>
    <t>Took</t>
  </si>
  <si>
    <t>Meriadoc</t>
  </si>
  <si>
    <t>Brandybuck</t>
  </si>
  <si>
    <t>Aragorn</t>
  </si>
  <si>
    <t>Elessar</t>
  </si>
  <si>
    <t>Grima</t>
  </si>
  <si>
    <t>Wormtongue</t>
  </si>
  <si>
    <t>Tom</t>
  </si>
  <si>
    <t>Bombadil</t>
  </si>
  <si>
    <t>Thorin</t>
  </si>
  <si>
    <t>Oakenshield</t>
  </si>
  <si>
    <t>Moria</t>
  </si>
  <si>
    <t>Gandalf</t>
  </si>
  <si>
    <t>Grey</t>
  </si>
  <si>
    <t>Saruman</t>
  </si>
  <si>
    <t>Radagast</t>
  </si>
  <si>
    <t>Brown</t>
  </si>
  <si>
    <t>Rosie</t>
  </si>
  <si>
    <t>Cotton</t>
  </si>
  <si>
    <t>Hobbiton</t>
  </si>
  <si>
    <t>Shire</t>
  </si>
  <si>
    <t>Rivendel</t>
  </si>
  <si>
    <t>Edoras</t>
  </si>
  <si>
    <t>Rohan</t>
  </si>
  <si>
    <t>Barrow Down</t>
  </si>
  <si>
    <t>Khazad-Dum</t>
  </si>
  <si>
    <t>Minas-Tirith</t>
  </si>
  <si>
    <t>Gondor</t>
  </si>
  <si>
    <t>Isengard</t>
  </si>
  <si>
    <t>Rhosgobel</t>
  </si>
  <si>
    <t>Mirkwood</t>
  </si>
  <si>
    <t>V 1.0.2</t>
  </si>
  <si>
    <t>Fixed bug not allowing students to be pasted into Roster sheet</t>
  </si>
  <si>
    <t>Notes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</si>
  <si>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</si>
  <si>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</si>
  <si>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</si>
  <si>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</si>
  <si>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</si>
  <si>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</si>
  <si>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</si>
  <si>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</si>
  <si>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</si>
  <si>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</si>
  <si>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V 1.0.4</t>
  </si>
  <si>
    <t>Fixed bug when submitting to SharePoint</t>
  </si>
  <si>
    <t>a</t>
  </si>
  <si>
    <t>Logic Model Category</t>
  </si>
  <si>
    <t>Justin</t>
  </si>
  <si>
    <t>Total Students</t>
  </si>
  <si>
    <t>All students in roster</t>
  </si>
  <si>
    <t>WWU</t>
  </si>
  <si>
    <t>CWU</t>
  </si>
  <si>
    <t>UW</t>
  </si>
  <si>
    <t>Date range: 1/10 to 1/12</t>
  </si>
  <si>
    <t>PNNL</t>
  </si>
  <si>
    <t>Beoing</t>
  </si>
  <si>
    <t>Science Center</t>
  </si>
  <si>
    <t>Microsoft</t>
  </si>
  <si>
    <t>Field trips to: PNNL, Beoing, Science Center, and Micrsoft</t>
  </si>
  <si>
    <t>Example</t>
  </si>
  <si>
    <t>GPA</t>
  </si>
  <si>
    <t>IEP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</si>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</sst>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Marlett"/>
      <charset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2" fillId="0" borderId="0" xfId="0" applyFont="1" applyProtection="1">
      <protection locked="0"/>
    </xf>
    <xf numFmtId="0" fontId="1" fillId="7" borderId="1" xfId="0" applyFont="1" applyFill="1" applyBorder="1" applyAlignment="1">
      <alignment horizontal="center"/>
    </xf>
    <xf numFmtId="16" fontId="0" fillId="0" borderId="4" xfId="0" applyNumberFormat="1" applyBorder="1" applyAlignment="1">
      <alignment horizontal="left"/>
    </xf>
    <xf numFmtId="0" fontId="0" fillId="0" borderId="0" xfId="0" applyProtection="1"/>
    <xf numFmtId="0" fontId="0" fillId="0" borderId="6" xfId="0" applyFont="1" applyBorder="1" applyProtection="1">
      <protection locked="0"/>
    </xf>
    <xf numFmtId="0" fontId="0" fillId="0" borderId="5" xfId="0" applyFont="1" applyBorder="1" applyProtection="1">
      <protection locked="0"/>
    </xf>
    <xf numFmtId="0" fontId="0" fillId="0" borderId="0" xfId="0" applyAlignment="1"/>
    <xf numFmtId="0" fontId="0" fillId="0" borderId="3" xfId="0" applyBorder="1" applyAlignment="1"/>
    <xf numFmtId="0" fontId="0" fillId="0" borderId="4" xfId="0" applyBorder="1" applyAlignment="1"/>
    <xf numFmtId="0" fontId="2" fillId="0" borderId="0" xfId="0" applyFont="1" applyAlignment="1"/>
    <xf numFmtId="0" fontId="4" fillId="2" borderId="7" xfId="0" applyFont="1" applyFill="1" applyBorder="1" applyProtection="1">
      <protection locked="0"/>
    </xf>
    <xf numFmtId="0" fontId="4" fillId="8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14" fontId="0" fillId="3" borderId="0" xfId="0" applyNumberFormat="1" applyFont="1" applyFill="1" applyProtection="1">
      <protection locked="0"/>
    </xf>
    <xf numFmtId="0" fontId="0" fillId="3" borderId="0" xfId="0" applyFont="1" applyFill="1" applyProtection="1">
      <protection locked="0"/>
    </xf>
    <xf numFmtId="164" fontId="0" fillId="3" borderId="0" xfId="0" applyNumberFormat="1" applyFont="1" applyFill="1" applyProtection="1">
      <protection locked="0"/>
    </xf>
    <xf numFmtId="0" fontId="0" fillId="3" borderId="0" xfId="0" applyFont="1" applyFill="1"/>
    <xf numFmtId="0" fontId="0" fillId="7" borderId="0" xfId="0" applyFont="1" applyFill="1"/>
    <xf numFmtId="0" fontId="0" fillId="6" borderId="0" xfId="0" applyFont="1" applyFill="1"/>
    <xf numFmtId="0" fontId="0" fillId="5" borderId="0" xfId="0" applyFont="1" applyFill="1"/>
    <xf numFmtId="0" fontId="0" fillId="4" borderId="0" xfId="0" applyFont="1" applyFill="1"/>
    <xf numFmtId="0" fontId="0" fillId="0" borderId="0" xfId="0" applyFont="1"/>
    <xf numFmtId="164" fontId="0" fillId="3" borderId="0" xfId="0" applyNumberFormat="1" applyFont="1" applyFill="1"/>
    <xf numFmtId="14" fontId="0" fillId="3" borderId="0" xfId="0" applyNumberFormat="1" applyFont="1" applyFill="1"/>
    <xf numFmtId="16" fontId="0" fillId="0" borderId="0" xfId="0" applyNumberFormat="1" applyAlignment="1"/>
    <xf numFmtId="0" fontId="2" fillId="0" borderId="7" xfId="0" applyFont="1" applyBorder="1" applyProtection="1">
      <protection locked="0"/>
    </xf>
    <xf numFmtId="0" fontId="0" fillId="0" borderId="7" xfId="0" applyFont="1" applyBorder="1" applyProtection="1">
      <protection locked="0"/>
    </xf>
    <xf numFmtId="0" fontId="0" fillId="0" borderId="8" xfId="0" applyFont="1" applyBorder="1" applyProtection="1">
      <protection locked="0"/>
    </xf>
    <xf numFmtId="0" fontId="2" fillId="0" borderId="6" xfId="0" applyFont="1" applyBorder="1" applyProtection="1">
      <protection locked="0"/>
    </xf>
  </cellXfs>
  <cellStyles count="1">
    <cellStyle name="Normal" xfId="0" builtinId="0"/>
  </cellStyles>
  <dxfs count="55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 outline="0">
        <left style="thin">
          <color theme="4" tint="0.39997558519241921"/>
        </left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75900" name="Button 124" hidden="1">
              <a:extLst>
                <a:ext uri="{63B3BB69-23CF-44E3-9099-C40C66FF867C}">
                  <a14:compatExt spid="_x0000_s75900"/>
                </a:ext>
                <a:ext uri="{FF2B5EF4-FFF2-40B4-BE49-F238E27FC236}">
                  <a16:creationId xmlns:a16="http://schemas.microsoft.com/office/drawing/2014/main" id="{00000000-0008-0000-0200-00007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75901" name="Button 125" hidden="1">
              <a:extLst>
                <a:ext uri="{63B3BB69-23CF-44E3-9099-C40C66FF867C}">
                  <a14:compatExt spid="_x0000_s75901"/>
                </a:ext>
                <a:ext uri="{FF2B5EF4-FFF2-40B4-BE49-F238E27FC236}">
                  <a16:creationId xmlns:a16="http://schemas.microsoft.com/office/drawing/2014/main" id="{00000000-0008-0000-0200-00007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75902" name="Button 126" hidden="1">
              <a:extLst>
                <a:ext uri="{63B3BB69-23CF-44E3-9099-C40C66FF867C}">
                  <a14:compatExt spid="_x0000_s75902"/>
                </a:ext>
                <a:ext uri="{FF2B5EF4-FFF2-40B4-BE49-F238E27FC236}">
                  <a16:creationId xmlns:a16="http://schemas.microsoft.com/office/drawing/2014/main" id="{00000000-0008-0000-0200-00007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75903" name="Button 127" hidden="1">
              <a:extLst>
                <a:ext uri="{63B3BB69-23CF-44E3-9099-C40C66FF867C}">
                  <a14:compatExt spid="_x0000_s75903"/>
                </a:ext>
                <a:ext uri="{FF2B5EF4-FFF2-40B4-BE49-F238E27FC236}">
                  <a16:creationId xmlns:a16="http://schemas.microsoft.com/office/drawing/2014/main" id="{00000000-0008-0000-0200-00007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75904" name="Button 128" hidden="1">
              <a:extLst>
                <a:ext uri="{63B3BB69-23CF-44E3-9099-C40C66FF867C}">
                  <a14:compatExt spid="_x0000_s75904"/>
                </a:ext>
                <a:ext uri="{FF2B5EF4-FFF2-40B4-BE49-F238E27FC236}">
                  <a16:creationId xmlns:a16="http://schemas.microsoft.com/office/drawing/2014/main" id="{00000000-0008-0000-0200-00008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75905" name="Button 129" hidden="1">
              <a:extLst>
                <a:ext uri="{63B3BB69-23CF-44E3-9099-C40C66FF867C}">
                  <a14:compatExt spid="_x0000_s75905"/>
                </a:ext>
                <a:ext uri="{FF2B5EF4-FFF2-40B4-BE49-F238E27FC236}">
                  <a16:creationId xmlns:a16="http://schemas.microsoft.com/office/drawing/2014/main" id="{00000000-0008-0000-0200-00008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75906" name="Button 130" hidden="1">
              <a:extLst>
                <a:ext uri="{63B3BB69-23CF-44E3-9099-C40C66FF867C}">
                  <a14:compatExt spid="_x0000_s75906"/>
                </a:ext>
                <a:ext uri="{FF2B5EF4-FFF2-40B4-BE49-F238E27FC236}">
                  <a16:creationId xmlns:a16="http://schemas.microsoft.com/office/drawing/2014/main" id="{00000000-0008-0000-0200-00008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SharePoint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3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3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3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03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69" name="Button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6CD1CD95-062E-D635-0ED3-0DDEE7BD27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0" name="Button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54D71712-A268-4F52-1109-CC092E07E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87240" name="Button 1224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4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87241" name="Button 1225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4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87242" name="Button 1226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4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87243" name="Button 1227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4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87244" name="Button 1228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4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7246" name="Button 1230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65B78E5A-E842-012D-F00A-F079823D9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F715642B-DFFF-F160-8672-116C8CF02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4E1C07FE-85BC-27B2-5DE7-EDECF3B31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C2BF8FF0-1E7D-A05C-B234-882F6D79B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54B899EC-76F1-6F97-F65C-D842FEDE7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79E82B76-0028-43B8-9923-CCED68673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F8F91C91-589A-8303-DB1B-0192B26EA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477FEAAA-3DE6-C691-BA3F-E8D7D83E9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1B17815-813E-EE59-21FA-4A93EAB3F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B86069A4-41F1-CC3E-42F9-2E47CF91C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2E7BF8D2-4842-C140-B69F-71E068958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AD2A4A44-4E3A-7138-636A-31DCD0C83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85B77764-75B6-C62A-A4E4-A5FE903A1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D55FE3F8-422A-62E3-E34A-97848543E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62203968-7749-C36D-A453-359821224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99331" name="Button 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ADD08F52-9553-0633-4728-AA0A36B81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F92041BD-A782-4A18-4049-60611A583B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9E23A165-FC29-9F11-B488-73E8A2F4F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1715C72E-1D34-E4FB-D304-8490ED2E6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4DD1C32B-8E98-C7C4-61CA-7A95B1E08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1D08AA8D-DD96-2EB6-606B-E38C1973A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CCC06BF2-6E24-CDBD-5CA2-8F8D41740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2471D7BB-7873-59C7-CCFD-5166DA78C8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D8338CED-2095-3EBC-E484-CE509D787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CB38B8A7-A0B7-B85B-B7EF-BE76ED23FD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09EDF8-DCF0-41E5-A2A7-D7B39CCD20E7}" name="ActivitiesTable" displayName="ActivitiesTable" ref="A1:B20" totalsRowShown="0">
  <autoFilter ref="A1:B20" xr:uid="{ED09EDF8-DCF0-41E5-A2A7-D7B39CCD20E7}"/>
  <tableColumns count="2">
    <tableColumn id="1" xr3:uid="{D2AB3AD7-E01F-40BF-81CD-2BB3BB633AE2}" name="Logic Model Activity"/>
    <tableColumn id="2" xr3:uid="{29AA84F6-4F29-4E6F-BACD-A2A07DFC806A}" name="Practi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2267D8-5D4A-4085-AEBC-DEDCBCDBE222}" name="CentersTable" displayName="CentersTable" ref="D1:D7" totalsRowShown="0">
  <autoFilter ref="D1:D7" xr:uid="{FC2267D8-5D4A-4085-AEBC-DEDCBCDBE222}"/>
  <tableColumns count="1">
    <tableColumn id="1" xr3:uid="{562A6C6B-2363-4AA9-8A09-1FB77DE46123}" name="MESA Cent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054765-C153-4799-A6C2-67202ED06F46}" name="EthnicityTable" displayName="EthnicityTable" ref="F1:F9" totalsRowShown="0">
  <autoFilter ref="F1:F9" xr:uid="{DE054765-C153-4799-A6C2-67202ED06F46}"/>
  <tableColumns count="1">
    <tableColumn id="1" xr3:uid="{59FB7B19-8563-4135-96C5-2A40002593EE}" name="Ethnic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B6BC8F-E105-483F-80F7-72439915C314}" name="GenderTable" displayName="GenderTable" ref="H1:H4" totalsRowShown="0">
  <autoFilter ref="H1:H4" xr:uid="{6BB6BC8F-E105-483F-80F7-72439915C314}"/>
  <tableColumns count="1">
    <tableColumn id="1" xr3:uid="{AEC09363-36FA-42E3-80D2-815DDA383A39}" name="Gend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418129-524A-4608-94D2-93150891BF7A}" name="GradeTable" displayName="GradeTable" ref="J1:J8" totalsRowShown="0">
  <autoFilter ref="J1:J8" xr:uid="{DD418129-524A-4608-94D2-93150891BF7A}"/>
  <tableColumns count="1">
    <tableColumn id="1" xr3:uid="{45B22251-59C9-4507-9C23-FE0C4FB0BD69}" name="Gra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88E9E93-1833-4FCC-9E43-CFADE6DE2341}" name="AllStudentsTable" displayName="AllStudentsTable" ref="A6:K18" totalsRowShown="0" headerRowDxfId="51" dataDxfId="50" tableBorderDxfId="100">
  <autoFilter ref="A6:K18" xr:uid="{888E9E93-1833-4FCC-9E43-CFADE6DE2341}"/>
  <tableColumns count="11">
    <tableColumn id="1" xr3:uid="{224D5290-802F-49F2-A046-064AFAA0DFE7}" name="Select" dataDxfId="62"/>
    <tableColumn id="2" xr3:uid="{17F12F96-4DE0-48DC-80B3-540B43450148}" name="First" dataDxfId="61"/>
    <tableColumn id="3" xr3:uid="{DD363058-30E0-4378-B5E2-C65490D37E67}" name="Last" dataDxfId="60"/>
    <tableColumn id="4" xr3:uid="{03D425A1-FE54-4F79-82E6-02A74DE21065}" name="Ethnicity" dataDxfId="59"/>
    <tableColumn id="5" xr3:uid="{4A2E824F-672D-4517-833E-04F784F5656B}" name="Gender" dataDxfId="58"/>
    <tableColumn id="6" xr3:uid="{427781BB-56FD-4B19-A9F8-643953415E52}" name="Grade" dataDxfId="57"/>
    <tableColumn id="7" xr3:uid="{C590F4F9-7A8F-4B8B-A388-12C4848F3E0C}" name="School" dataDxfId="56"/>
    <tableColumn id="8" xr3:uid="{9F71F272-713A-4442-A1A2-81092B9CDA32}" name="District" dataDxfId="55"/>
    <tableColumn id="9" xr3:uid="{CB28FE04-7D4B-42E8-8D1B-183B15B6F9B4}" name="Notes" dataDxfId="54"/>
    <tableColumn id="10" xr3:uid="{5C064D47-F7A0-420E-8844-1B3226AEE2E1}" name="GPA" dataDxfId="53">
      <calculatedColumnFormula>RANDBETWEEN(0, 4)</calculatedColumnFormula>
    </tableColumn>
    <tableColumn id="11" xr3:uid="{AAC0C36C-4B67-41C1-A11F-305DF8146122}" name="IEP" dataDxfId="52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90FA919-2D7D-4FB7-B85A-17F75A09651C}" name="RosterTable" displayName="RosterTable" ref="A6:K18" totalsRowShown="0" headerRowDxfId="40" dataDxfId="39">
  <autoFilter ref="A6:K18" xr:uid="{290FA919-2D7D-4FB7-B85A-17F75A09651C}"/>
  <tableColumns count="11">
    <tableColumn id="1" xr3:uid="{04D25415-6F2F-4C41-A938-340B67E6ADED}" name="Select" dataDxfId="37"/>
    <tableColumn id="2" xr3:uid="{9C6669D9-4522-44E3-A116-422F04FA4D48}" name="First" dataDxfId="38"/>
    <tableColumn id="3" xr3:uid="{AD153541-A9CE-474E-9941-055538605C77}" name="Last" dataDxfId="49"/>
    <tableColumn id="4" xr3:uid="{1A7E9147-3632-4E64-9A07-78800B63B64F}" name="Ethnicity" dataDxfId="48"/>
    <tableColumn id="5" xr3:uid="{B69CBEF4-C70F-4015-8A6B-63147A6127ED}" name="Gender" dataDxfId="47"/>
    <tableColumn id="6" xr3:uid="{5E6BDDA2-4A4A-42C3-B72C-C4BCDFDE8653}" name="Grade" dataDxfId="46"/>
    <tableColumn id="7" xr3:uid="{FD6B379C-3EEB-4129-8153-76E4E758420E}" name="School" dataDxfId="45"/>
    <tableColumn id="8" xr3:uid="{3926C13A-10BF-475F-8A0F-67E7B3AC29AE}" name="District" dataDxfId="44"/>
    <tableColumn id="9" xr3:uid="{24F3E7B9-47F5-4A70-A8EB-A2C25745414C}" name="Notes" dataDxfId="43"/>
    <tableColumn id="10" xr3:uid="{AB960B9A-70A6-4EC7-A5D2-CDACC12F2501}" name="GPA" dataDxfId="42"/>
    <tableColumn id="11" xr3:uid="{7054B1C4-4B78-450C-B2ED-3FEE17BE104D}" name="IEP" dataDxfId="41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F070DA-F282-4C94-8F32-E30BCCABB360}" name="Table9" displayName="Table9" ref="A6:I10" totalsRowShown="0" headerRowDxfId="547" dataDxfId="548">
  <autoFilter ref="A6:I10" xr:uid="{86F070DA-F282-4C94-8F32-E30BCCABB360}"/>
  <tableColumns count="9">
    <tableColumn id="1" xr3:uid="{125B8D8D-98ED-44F6-BE92-DDF66ACFCA68}" name="Select" dataDxfId="545"/>
    <tableColumn id="2" xr3:uid="{8BF54BD1-1601-4457-A2BA-B8BE44C70D10}" name="First" dataDxfId="546"/>
    <tableColumn id="3" xr3:uid="{7100FBC7-EB8B-4D5E-B0C5-B7149A1A80E4}" name="Last" dataDxfId="555"/>
    <tableColumn id="4" xr3:uid="{46A95E7E-EC6F-4EA8-994E-00B2E3E1EADB}" name="Ethnicity" dataDxfId="554"/>
    <tableColumn id="5" xr3:uid="{4C7A4A4B-18ED-415E-A1FC-BC6AEF93E76E}" name="Gender" dataDxfId="553"/>
    <tableColumn id="6" xr3:uid="{BCB3B2BD-5E5E-436E-8058-2847D86ADEE8}" name="Grade" dataDxfId="552"/>
    <tableColumn id="7" xr3:uid="{A1552345-DDA5-4E17-B030-4FCED339CD55}" name="School" dataDxfId="551"/>
    <tableColumn id="8" xr3:uid="{1A807CD8-F379-4148-ADBA-CDE045B7C48D}" name="District" dataDxfId="550"/>
    <tableColumn id="9" xr3:uid="{AF964403-F404-472C-A1FB-91F4CC4E8A27}" name="Notes" dataDxfId="549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BA43418-02D8-474B-9559-84CF59F20E70}" name="Table10" displayName="Table10" ref="A6:I18" totalsRowShown="0" headerRowDxfId="536" dataDxfId="537">
  <autoFilter ref="A6:I18" xr:uid="{9BA43418-02D8-474B-9559-84CF59F20E70}"/>
  <tableColumns count="9">
    <tableColumn id="1" xr3:uid="{84D44725-8163-410C-B316-A130510618F5}" name="Select" dataDxfId="534"/>
    <tableColumn id="2" xr3:uid="{F3F6D065-1956-4FF8-B79A-D3CF278C7696}" name="First" dataDxfId="535"/>
    <tableColumn id="3" xr3:uid="{2CC01DC5-C1CE-466D-BEAB-4BC6C46D3D4A}" name="Last" dataDxfId="544"/>
    <tableColumn id="4" xr3:uid="{F5880F99-BE97-4B0A-AAF4-7BF5AD830B51}" name="Ethnicity" dataDxfId="543"/>
    <tableColumn id="5" xr3:uid="{7DAC0C1E-3ECE-43F6-BEA2-AFB93CF9DE25}" name="Gender" dataDxfId="542"/>
    <tableColumn id="6" xr3:uid="{B68AA9CA-42F7-4E12-A68D-5924A164645F}" name="Grade" dataDxfId="541"/>
    <tableColumn id="7" xr3:uid="{48BD1CE1-D85B-43A9-815D-3B43907A84DF}" name="School" dataDxfId="540"/>
    <tableColumn id="8" xr3:uid="{F085EDC5-5EE9-40E9-8B65-897D276C9F96}" name="District" dataDxfId="539"/>
    <tableColumn id="9" xr3:uid="{28D2CB7D-94B0-4ED6-8965-1F433C974E09}" name="Notes" dataDxfId="538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8C40085-06C8-4CE8-B5BB-7D4CA8D87B57}" name="Table11" displayName="Table11" ref="A6:I18" totalsRowShown="0" headerRowDxfId="525" dataDxfId="526">
  <autoFilter ref="A6:I18" xr:uid="{38C40085-06C8-4CE8-B5BB-7D4CA8D87B57}"/>
  <tableColumns count="9">
    <tableColumn id="1" xr3:uid="{BD88D41F-6184-479C-AF4F-1DAE7DEF9ADD}" name="Select" dataDxfId="523"/>
    <tableColumn id="2" xr3:uid="{90C19D3F-7B90-412C-8628-A76F18B3DF75}" name="First" dataDxfId="524"/>
    <tableColumn id="3" xr3:uid="{BE53AD48-7310-4DBF-A291-740AAB8AFA73}" name="Last" dataDxfId="533"/>
    <tableColumn id="4" xr3:uid="{D68E7401-374B-42EB-8158-73989B638D7B}" name="Ethnicity" dataDxfId="532"/>
    <tableColumn id="5" xr3:uid="{B4AC94DF-0447-4E8A-BA9D-03587DD03162}" name="Gender" dataDxfId="531"/>
    <tableColumn id="6" xr3:uid="{CE054DE9-4D23-44F8-A983-3EA53EB73EDF}" name="Grade" dataDxfId="530"/>
    <tableColumn id="7" xr3:uid="{6739FA74-19C6-4933-86CA-EABCD4C9ABFC}" name="School" dataDxfId="529"/>
    <tableColumn id="8" xr3:uid="{EC509EBB-AB7A-4E92-998E-A0B31B02A31F}" name="District" dataDxfId="528"/>
    <tableColumn id="9" xr3:uid="{2871B29A-8494-40D6-B661-158FFDD66637}" name="Notes" dataDxfId="527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200AE99-BC77-4D8B-84E9-07FA1740D266}" name="Table12" displayName="Table12" ref="A6:I18" totalsRowShown="0" headerRowDxfId="514" dataDxfId="515">
  <autoFilter ref="A6:I18" xr:uid="{2200AE99-BC77-4D8B-84E9-07FA1740D266}"/>
  <tableColumns count="9">
    <tableColumn id="1" xr3:uid="{2C5A27AC-489E-4BE2-ACB9-47D1CE7E532F}" name="Select" dataDxfId="512"/>
    <tableColumn id="2" xr3:uid="{B5E90C58-DDDD-4A4D-8225-2277B9969487}" name="First" dataDxfId="513"/>
    <tableColumn id="3" xr3:uid="{357712EA-B2AD-4115-BFF4-CB0E6B2E1A7B}" name="Last" dataDxfId="522"/>
    <tableColumn id="4" xr3:uid="{ADEC8726-5ADC-48A8-96BF-5705B0A2E365}" name="Ethnicity" dataDxfId="521"/>
    <tableColumn id="5" xr3:uid="{075F0E99-0DF8-4E12-8196-C8F9C2132EC0}" name="Gender" dataDxfId="520"/>
    <tableColumn id="6" xr3:uid="{B9688646-6B81-452F-BAA5-23D4DF2AB095}" name="Grade" dataDxfId="519"/>
    <tableColumn id="7" xr3:uid="{B2964592-102F-45FE-B1CA-811BCDAB7C2A}" name="School" dataDxfId="518"/>
    <tableColumn id="8" xr3:uid="{E07FC777-CC69-4E68-8B6B-DA19B378BB7A}" name="District" dataDxfId="517"/>
    <tableColumn id="9" xr3:uid="{8775064C-584A-41B9-9E25-2D89976C74C0}" name="Notes" dataDxfId="516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EA5EE36-C461-4FD0-8EBA-ADF8A6C956BE}" name="Table13" displayName="Table13" ref="A6:I10" totalsRowShown="0" headerRowDxfId="503" dataDxfId="504">
  <autoFilter ref="A6:I10" xr:uid="{9EA5EE36-C461-4FD0-8EBA-ADF8A6C956BE}"/>
  <tableColumns count="9">
    <tableColumn id="1" xr3:uid="{A6B88BE0-6FAB-446C-8BB5-0D4EB70CB223}" name="Select" dataDxfId="501"/>
    <tableColumn id="2" xr3:uid="{70C706E9-131C-4B55-AA8E-8EA02040CB6D}" name="First" dataDxfId="502"/>
    <tableColumn id="3" xr3:uid="{4A22ABCC-405F-4DA6-95DD-4BEFFAFC4C0A}" name="Last" dataDxfId="511"/>
    <tableColumn id="4" xr3:uid="{F676389B-54E9-403F-87A0-B185EC04EE3B}" name="Ethnicity" dataDxfId="510"/>
    <tableColumn id="5" xr3:uid="{5EEC3A84-6AF2-4AC1-A107-60FBF905C02B}" name="Gender" dataDxfId="509"/>
    <tableColumn id="6" xr3:uid="{9D881D57-4E69-4081-A7F0-E3A436494A79}" name="Grade" dataDxfId="508"/>
    <tableColumn id="7" xr3:uid="{E33BC42C-4F3A-4536-BC7E-1F5955B25446}" name="School" dataDxfId="507"/>
    <tableColumn id="8" xr3:uid="{B732D895-FC4C-47C9-88AB-96E3E86FAE5F}" name="District" dataDxfId="506"/>
    <tableColumn id="9" xr3:uid="{4F262EB5-3F97-48A0-B920-23A33E5E6590}" name="Notes" dataDxfId="505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577514-04ED-45E1-9337-FE2B89CD6488}" name="Table14" displayName="Table14" ref="A6:I18" totalsRowShown="0" headerRowDxfId="492" dataDxfId="493">
  <autoFilter ref="A6:I18" xr:uid="{47577514-04ED-45E1-9337-FE2B89CD6488}"/>
  <tableColumns count="9">
    <tableColumn id="1" xr3:uid="{90BFC962-EC51-40A1-8DDE-65120BD4407A}" name="Select" dataDxfId="490"/>
    <tableColumn id="2" xr3:uid="{E80E0B17-9B62-4709-B283-3CCA61829B18}" name="First" dataDxfId="491"/>
    <tableColumn id="3" xr3:uid="{52D6C635-1714-4DFB-802C-1ED8B8BFDBBF}" name="Last" dataDxfId="500"/>
    <tableColumn id="4" xr3:uid="{0F784628-702A-4B7E-B102-26DD3A13C9A9}" name="Ethnicity" dataDxfId="499"/>
    <tableColumn id="5" xr3:uid="{60CD5291-B34C-46BD-B54D-0D5CAC3FD6B1}" name="Gender" dataDxfId="498"/>
    <tableColumn id="6" xr3:uid="{3033FFE8-5B02-4BF3-BEF2-1D7EDAC4A245}" name="Grade" dataDxfId="497"/>
    <tableColumn id="7" xr3:uid="{0A5EBE7F-C112-4FA4-96A2-011660E23CDA}" name="School" dataDxfId="496"/>
    <tableColumn id="8" xr3:uid="{329E4984-F1D7-407F-BCE7-C44735CA7CDD}" name="District" dataDxfId="495"/>
    <tableColumn id="9" xr3:uid="{A318D4B4-CD1A-41B0-BE8B-CD1919D195BA}" name="Notes" dataDxfId="494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1824E-FCDC-4D83-80B5-8C89B35BF7D8}">
  <sheetPr codeName="Sheet1"/>
  <dimension ref="A1:J20"/>
  <sheetViews>
    <sheetView workbookViewId="0">
      <selection activeCell="B26" sqref="B26"/>
    </sheetView>
  </sheetViews>
  <sheetFormatPr defaultRowHeight="15" x14ac:dyDescent="0.25"/>
  <cols>
    <col min="1" max="1" width="30.5703125" bestFit="1" customWidth="1"/>
    <col min="2" max="2" width="50.140625" bestFit="1" customWidth="1"/>
    <col min="4" max="4" width="14.85546875" bestFit="1" customWidth="1"/>
  </cols>
  <sheetData>
    <row r="1" spans="1:10" x14ac:dyDescent="0.25">
      <c r="A1" t="s">
        <v>0</v>
      </c>
      <c r="B1" t="s">
        <v>1</v>
      </c>
      <c r="D1" t="s">
        <v>2</v>
      </c>
      <c r="F1" t="s">
        <v>3</v>
      </c>
      <c r="H1" t="s">
        <v>4</v>
      </c>
      <c r="J1" t="s">
        <v>5</v>
      </c>
    </row>
    <row r="2" spans="1:10" x14ac:dyDescent="0.25">
      <c r="A2" t="s">
        <v>6</v>
      </c>
      <c r="B2" t="s">
        <v>7</v>
      </c>
      <c r="D2" t="s">
        <v>8</v>
      </c>
      <c r="F2" t="s">
        <v>9</v>
      </c>
      <c r="H2" t="s">
        <v>10</v>
      </c>
      <c r="J2">
        <v>6</v>
      </c>
    </row>
    <row r="3" spans="1:10" x14ac:dyDescent="0.25">
      <c r="A3" t="s">
        <v>11</v>
      </c>
      <c r="B3" t="s">
        <v>12</v>
      </c>
      <c r="D3" t="s">
        <v>13</v>
      </c>
      <c r="F3" t="s">
        <v>14</v>
      </c>
      <c r="H3" t="s">
        <v>15</v>
      </c>
      <c r="J3">
        <v>7</v>
      </c>
    </row>
    <row r="4" spans="1:10" x14ac:dyDescent="0.25">
      <c r="A4" t="s">
        <v>11</v>
      </c>
      <c r="B4" t="s">
        <v>16</v>
      </c>
      <c r="D4" t="s">
        <v>17</v>
      </c>
      <c r="F4" t="s">
        <v>18</v>
      </c>
      <c r="H4" t="s">
        <v>19</v>
      </c>
      <c r="J4">
        <v>8</v>
      </c>
    </row>
    <row r="5" spans="1:10" x14ac:dyDescent="0.25">
      <c r="A5" t="s">
        <v>11</v>
      </c>
      <c r="B5" t="s">
        <v>20</v>
      </c>
      <c r="D5" t="s">
        <v>21</v>
      </c>
      <c r="F5" t="s">
        <v>22</v>
      </c>
      <c r="J5">
        <v>9</v>
      </c>
    </row>
    <row r="6" spans="1:10" x14ac:dyDescent="0.25">
      <c r="A6" t="s">
        <v>11</v>
      </c>
      <c r="B6" t="s">
        <v>23</v>
      </c>
      <c r="D6" t="s">
        <v>24</v>
      </c>
      <c r="F6" t="s">
        <v>25</v>
      </c>
      <c r="J6">
        <v>10</v>
      </c>
    </row>
    <row r="7" spans="1:10" x14ac:dyDescent="0.25">
      <c r="A7" t="s">
        <v>11</v>
      </c>
      <c r="B7" t="s">
        <v>26</v>
      </c>
      <c r="D7" t="s">
        <v>27</v>
      </c>
      <c r="F7" t="s">
        <v>28</v>
      </c>
      <c r="J7">
        <v>11</v>
      </c>
    </row>
    <row r="8" spans="1:10" x14ac:dyDescent="0.25">
      <c r="A8" t="s">
        <v>29</v>
      </c>
      <c r="B8" t="s">
        <v>30</v>
      </c>
      <c r="F8" t="s">
        <v>31</v>
      </c>
      <c r="J8">
        <v>12</v>
      </c>
    </row>
    <row r="9" spans="1:10" x14ac:dyDescent="0.25">
      <c r="A9" t="s">
        <v>29</v>
      </c>
      <c r="B9" t="s">
        <v>32</v>
      </c>
      <c r="F9" t="s">
        <v>19</v>
      </c>
    </row>
    <row r="10" spans="1:10" x14ac:dyDescent="0.25">
      <c r="A10" t="s">
        <v>29</v>
      </c>
      <c r="B10" t="s">
        <v>33</v>
      </c>
    </row>
    <row r="11" spans="1:10" x14ac:dyDescent="0.25">
      <c r="A11" t="s">
        <v>34</v>
      </c>
      <c r="B11" t="s">
        <v>35</v>
      </c>
    </row>
    <row r="12" spans="1:10" x14ac:dyDescent="0.25">
      <c r="A12" t="s">
        <v>36</v>
      </c>
      <c r="B12" t="s">
        <v>37</v>
      </c>
    </row>
    <row r="13" spans="1:10" x14ac:dyDescent="0.25">
      <c r="A13" t="s">
        <v>36</v>
      </c>
      <c r="B13" t="s">
        <v>38</v>
      </c>
    </row>
    <row r="14" spans="1:10" x14ac:dyDescent="0.25">
      <c r="A14" t="s">
        <v>39</v>
      </c>
      <c r="B14" t="s">
        <v>40</v>
      </c>
    </row>
    <row r="15" spans="1:10" x14ac:dyDescent="0.25">
      <c r="A15" t="s">
        <v>39</v>
      </c>
      <c r="B15" t="s">
        <v>41</v>
      </c>
    </row>
    <row r="16" spans="1:10" x14ac:dyDescent="0.25">
      <c r="A16" t="s">
        <v>42</v>
      </c>
      <c r="B16" t="s">
        <v>43</v>
      </c>
    </row>
    <row r="17" spans="1:2" x14ac:dyDescent="0.25">
      <c r="A17" t="s">
        <v>42</v>
      </c>
      <c r="B17" t="s">
        <v>44</v>
      </c>
    </row>
    <row r="18" spans="1:2" x14ac:dyDescent="0.25">
      <c r="A18" t="s">
        <v>42</v>
      </c>
      <c r="B18" t="s">
        <v>45</v>
      </c>
    </row>
    <row r="19" spans="1:2" x14ac:dyDescent="0.25">
      <c r="A19" t="s">
        <v>42</v>
      </c>
      <c r="B19" t="s">
        <v>46</v>
      </c>
    </row>
    <row r="20" spans="1:2" x14ac:dyDescent="0.25">
      <c r="A20" t="s">
        <v>42</v>
      </c>
      <c r="B20" t="s">
        <v>47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933F5-99F6-43CA-952A-EAE77EF358E8}">
  <sheetPr codeName="Sheet4"/>
  <dimension ref="A1:B27"/>
  <sheetViews>
    <sheetView topLeftCell="A7" workbookViewId="0">
      <selection activeCell="E36" sqref="E36"/>
    </sheetView>
  </sheetViews>
  <sheetFormatPr defaultRowHeight="15" x14ac:dyDescent="0.25"/>
  <sheetData>
    <row r="1" spans="1:2" x14ac:dyDescent="0.25">
      <c r="A1" t="s">
        <v>48</v>
      </c>
    </row>
    <row r="2" spans="1:2" x14ac:dyDescent="0.25">
      <c r="B2" t="s">
        <v>49</v>
      </c>
    </row>
    <row r="3" spans="1:2" x14ac:dyDescent="0.25">
      <c r="B3" t="s">
        <v>50</v>
      </c>
    </row>
    <row r="4" spans="1:2" x14ac:dyDescent="0.25">
      <c r="B4" t="s">
        <v>51</v>
      </c>
    </row>
    <row r="5" spans="1:2" x14ac:dyDescent="0.25">
      <c r="B5" t="s">
        <v>52</v>
      </c>
    </row>
    <row r="6" spans="1:2" x14ac:dyDescent="0.25">
      <c r="B6" t="s">
        <v>53</v>
      </c>
    </row>
    <row r="7" spans="1:2" x14ac:dyDescent="0.25">
      <c r="B7" t="s">
        <v>54</v>
      </c>
    </row>
    <row r="9" spans="1:2" x14ac:dyDescent="0.25">
      <c r="A9" t="s">
        <v>55</v>
      </c>
    </row>
    <row r="10" spans="1:2" x14ac:dyDescent="0.25">
      <c r="B10" t="s">
        <v>56</v>
      </c>
    </row>
    <row r="12" spans="1:2" x14ac:dyDescent="0.25">
      <c r="A12" t="s">
        <v>104</v>
      </c>
    </row>
    <row r="13" spans="1:2" x14ac:dyDescent="0.25">
      <c r="B13" t="s">
        <v>105</v>
      </c>
    </row>
    <row r="15" spans="1:2" x14ac:dyDescent="0.25">
      <c r="A15" t="s">
        <v>107</v>
      </c>
    </row>
    <row r="16" spans="1:2" x14ac:dyDescent="0.25">
      <c r="B16" t="s">
        <v>108</v>
      </c>
    </row>
    <row r="17" spans="1:2" x14ac:dyDescent="0.25">
      <c r="B17" t="s">
        <v>109</v>
      </c>
    </row>
    <row r="18" spans="1:2" x14ac:dyDescent="0.25">
      <c r="B18" t="s">
        <v>110</v>
      </c>
    </row>
    <row r="19" spans="1:2" x14ac:dyDescent="0.25">
      <c r="B19" t="s">
        <v>111</v>
      </c>
    </row>
    <row r="20" spans="1:2" x14ac:dyDescent="0.25">
      <c r="B20" t="s">
        <v>112</v>
      </c>
    </row>
    <row r="21" spans="1:2" x14ac:dyDescent="0.25">
      <c r="B21" t="s">
        <v>113</v>
      </c>
    </row>
    <row r="22" spans="1:2" x14ac:dyDescent="0.25">
      <c r="B22" t="s">
        <v>114</v>
      </c>
    </row>
    <row r="23" spans="1:2" x14ac:dyDescent="0.25">
      <c r="B23" t="s">
        <v>115</v>
      </c>
    </row>
    <row r="24" spans="1:2" x14ac:dyDescent="0.25">
      <c r="B24" t="s">
        <v>116</v>
      </c>
    </row>
    <row r="26" spans="1:2" x14ac:dyDescent="0.25">
      <c r="A26" t="s">
        <v>117</v>
      </c>
    </row>
    <row r="27" spans="1:2" x14ac:dyDescent="0.25">
      <c r="B27" t="s">
        <v>118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21030-E8CC-44DB-B1E0-C7B8E6BB2474}">
  <sheetPr codeName="Sheet34"/>
  <dimension ref="A1:Z13"/>
  <sheetViews>
    <sheetView tabSelected="1" workbookViewId="0">
      <selection activeCell="H21" sqref="H21"/>
    </sheetView>
  </sheetViews>
  <sheetFormatPr defaultRowHeight="15" x14ac:dyDescent="0.25"/>
  <cols>
    <col min="1" max="1" width="9.140625" style="23"/>
    <col min="2" max="3" width="9.140625" style="27"/>
    <col min="4" max="4" width="10.42578125" style="27" bestFit="1" customWidth="1"/>
    <col min="5" max="5" width="24" style="27" bestFit="1" customWidth="1"/>
    <col min="6" max="6" width="24" style="28" customWidth="1"/>
    <col min="7" max="9" width="9.140625" style="29"/>
    <col min="10" max="10" width="16" style="29" customWidth="1"/>
    <col min="11" max="15" width="9.140625" style="29"/>
    <col min="16" max="18" width="9.140625" style="30"/>
    <col min="19" max="26" width="9.140625" style="31"/>
    <col min="27" max="16384" width="9.140625" style="32"/>
  </cols>
  <sheetData>
    <row r="1" spans="1:26" customFormat="1" x14ac:dyDescent="0.25"/>
    <row r="2" spans="1:26" customFormat="1" x14ac:dyDescent="0.25"/>
    <row r="3" spans="1:26" customFormat="1" x14ac:dyDescent="0.25"/>
    <row r="4" spans="1:26" customFormat="1" x14ac:dyDescent="0.25">
      <c r="A4" s="7"/>
    </row>
    <row r="5" spans="1:26" customFormat="1" x14ac:dyDescent="0.25">
      <c r="A5" s="7"/>
    </row>
    <row r="6" spans="1:26" customFormat="1" ht="15.75" thickBot="1" x14ac:dyDescent="0.3">
      <c r="A6" s="2" t="s">
        <v>57</v>
      </c>
      <c r="B6" s="3" t="s">
        <v>58</v>
      </c>
      <c r="C6" s="3" t="s">
        <v>59</v>
      </c>
      <c r="D6" s="3" t="s">
        <v>60</v>
      </c>
      <c r="E6" s="3" t="s">
        <v>1</v>
      </c>
      <c r="F6" s="12" t="s">
        <v>61</v>
      </c>
      <c r="G6" s="4" t="s">
        <v>62</v>
      </c>
      <c r="H6" s="4" t="s">
        <v>9</v>
      </c>
      <c r="I6" s="4" t="s">
        <v>14</v>
      </c>
      <c r="J6" s="4" t="s">
        <v>18</v>
      </c>
      <c r="K6" s="4" t="s">
        <v>22</v>
      </c>
      <c r="L6" s="4" t="s">
        <v>25</v>
      </c>
      <c r="M6" s="4" t="s">
        <v>63</v>
      </c>
      <c r="N6" s="4" t="s">
        <v>31</v>
      </c>
      <c r="O6" s="4" t="s">
        <v>19</v>
      </c>
      <c r="P6" s="5" t="s">
        <v>15</v>
      </c>
      <c r="Q6" s="5" t="s">
        <v>10</v>
      </c>
      <c r="R6" s="5" t="s">
        <v>19</v>
      </c>
      <c r="S6" s="6">
        <v>6</v>
      </c>
      <c r="T6" s="6">
        <v>7</v>
      </c>
      <c r="U6" s="6">
        <v>8</v>
      </c>
      <c r="V6" s="6">
        <v>9</v>
      </c>
      <c r="W6" s="6">
        <v>10</v>
      </c>
      <c r="X6" s="6">
        <v>11</v>
      </c>
      <c r="Y6" s="6">
        <v>12</v>
      </c>
      <c r="Z6" s="6" t="s">
        <v>19</v>
      </c>
    </row>
    <row r="7" spans="1:26" x14ac:dyDescent="0.25">
      <c r="B7" s="24" t="s">
        <v>13</v>
      </c>
      <c r="C7" s="25" t="s">
        <v>121</v>
      </c>
      <c r="D7" s="26">
        <v>44927</v>
      </c>
      <c r="E7" s="27" t="s">
        <v>122</v>
      </c>
      <c r="F7" s="28" t="s">
        <v>123</v>
      </c>
      <c r="G7" s="29">
        <v>17</v>
      </c>
      <c r="H7" s="29">
        <v>1</v>
      </c>
      <c r="I7" s="29">
        <v>1</v>
      </c>
      <c r="J7" s="29">
        <v>2</v>
      </c>
      <c r="K7" s="29">
        <v>3</v>
      </c>
      <c r="L7" s="29">
        <v>2</v>
      </c>
      <c r="M7" s="29">
        <v>1</v>
      </c>
      <c r="N7" s="29">
        <v>1</v>
      </c>
      <c r="O7" s="29">
        <v>6</v>
      </c>
      <c r="P7" s="30">
        <v>5</v>
      </c>
      <c r="Q7" s="30">
        <v>4</v>
      </c>
      <c r="R7" s="30">
        <v>8</v>
      </c>
      <c r="S7" s="31">
        <v>1</v>
      </c>
      <c r="T7" s="31">
        <v>2</v>
      </c>
      <c r="U7" s="31">
        <v>3</v>
      </c>
      <c r="V7" s="31">
        <v>2</v>
      </c>
      <c r="W7" s="31">
        <v>1</v>
      </c>
      <c r="X7" s="31">
        <v>1</v>
      </c>
      <c r="Y7" s="31">
        <v>1</v>
      </c>
      <c r="Z7" s="31">
        <v>6</v>
      </c>
    </row>
    <row r="8" spans="1:26" ht="16.5" x14ac:dyDescent="0.25">
      <c r="A8" s="11"/>
      <c r="B8" s="27" t="s">
        <v>13</v>
      </c>
      <c r="C8" s="33" t="s">
        <v>121</v>
      </c>
      <c r="D8" s="34">
        <v>45317</v>
      </c>
      <c r="E8" s="27" t="s">
        <v>46</v>
      </c>
      <c r="F8" s="28" t="s">
        <v>124</v>
      </c>
      <c r="G8" s="29">
        <v>4</v>
      </c>
      <c r="H8" s="29">
        <v>1</v>
      </c>
      <c r="J8" s="29">
        <v>2</v>
      </c>
      <c r="K8" s="29">
        <v>1</v>
      </c>
      <c r="Q8" s="30">
        <v>4</v>
      </c>
      <c r="S8" s="31">
        <v>1</v>
      </c>
      <c r="T8" s="31">
        <v>2</v>
      </c>
      <c r="U8" s="31">
        <v>1</v>
      </c>
    </row>
    <row r="9" spans="1:26" ht="16.5" x14ac:dyDescent="0.25">
      <c r="A9" s="11"/>
      <c r="B9" s="27" t="s">
        <v>13</v>
      </c>
      <c r="C9" s="33" t="s">
        <v>121</v>
      </c>
      <c r="D9" s="34">
        <v>45315</v>
      </c>
      <c r="E9" s="27" t="s">
        <v>46</v>
      </c>
      <c r="F9" s="28" t="s">
        <v>125</v>
      </c>
      <c r="G9" s="29">
        <v>3</v>
      </c>
      <c r="L9" s="29">
        <v>1</v>
      </c>
      <c r="M9" s="29">
        <v>1</v>
      </c>
      <c r="N9" s="29">
        <v>1</v>
      </c>
      <c r="P9" s="30">
        <v>1</v>
      </c>
      <c r="R9" s="30">
        <v>2</v>
      </c>
      <c r="W9" s="31">
        <v>1</v>
      </c>
      <c r="X9" s="31">
        <v>1</v>
      </c>
      <c r="Y9" s="31">
        <v>1</v>
      </c>
    </row>
    <row r="10" spans="1:26" ht="16.5" x14ac:dyDescent="0.25">
      <c r="A10" s="11"/>
      <c r="B10" s="27" t="s">
        <v>13</v>
      </c>
      <c r="C10" s="33" t="s">
        <v>121</v>
      </c>
      <c r="D10" s="34">
        <v>45311</v>
      </c>
      <c r="E10" s="27" t="s">
        <v>46</v>
      </c>
      <c r="F10" s="28" t="s">
        <v>126</v>
      </c>
      <c r="G10" s="29">
        <v>7</v>
      </c>
      <c r="H10" s="29">
        <v>1</v>
      </c>
      <c r="J10" s="29">
        <v>2</v>
      </c>
      <c r="K10" s="29">
        <v>1</v>
      </c>
      <c r="L10" s="29">
        <v>1</v>
      </c>
      <c r="M10" s="29">
        <v>1</v>
      </c>
      <c r="N10" s="29">
        <v>1</v>
      </c>
      <c r="P10" s="30">
        <v>1</v>
      </c>
      <c r="Q10" s="30">
        <v>4</v>
      </c>
      <c r="R10" s="30">
        <v>2</v>
      </c>
      <c r="S10" s="31">
        <v>1</v>
      </c>
      <c r="T10" s="31">
        <v>2</v>
      </c>
      <c r="U10" s="31">
        <v>1</v>
      </c>
      <c r="W10" s="31">
        <v>1</v>
      </c>
      <c r="X10" s="31">
        <v>1</v>
      </c>
      <c r="Y10" s="31">
        <v>1</v>
      </c>
    </row>
    <row r="11" spans="1:26" ht="16.5" x14ac:dyDescent="0.25">
      <c r="A11" s="11"/>
      <c r="B11" s="27" t="s">
        <v>13</v>
      </c>
      <c r="C11" s="33" t="s">
        <v>121</v>
      </c>
      <c r="D11" s="34">
        <v>45302</v>
      </c>
      <c r="E11" s="27" t="s">
        <v>20</v>
      </c>
      <c r="F11" s="28" t="s">
        <v>127</v>
      </c>
      <c r="G11" s="29">
        <v>6</v>
      </c>
      <c r="H11" s="29">
        <v>1</v>
      </c>
      <c r="J11" s="29">
        <v>1</v>
      </c>
      <c r="K11" s="29">
        <v>2</v>
      </c>
      <c r="M11" s="29">
        <v>1</v>
      </c>
      <c r="N11" s="29">
        <v>1</v>
      </c>
      <c r="P11" s="30">
        <v>2</v>
      </c>
      <c r="Q11" s="30">
        <v>2</v>
      </c>
      <c r="R11" s="30">
        <v>2</v>
      </c>
      <c r="S11" s="31">
        <v>1</v>
      </c>
      <c r="T11" s="31">
        <v>1</v>
      </c>
      <c r="U11" s="31">
        <v>2</v>
      </c>
      <c r="X11" s="31">
        <v>1</v>
      </c>
      <c r="Y11" s="31">
        <v>1</v>
      </c>
    </row>
    <row r="12" spans="1:26" ht="16.5" x14ac:dyDescent="0.25">
      <c r="A12" s="11"/>
      <c r="B12" s="27" t="s">
        <v>13</v>
      </c>
      <c r="C12" s="33" t="s">
        <v>121</v>
      </c>
      <c r="D12" s="34">
        <v>45301</v>
      </c>
      <c r="E12" s="27" t="s">
        <v>23</v>
      </c>
      <c r="F12" s="28" t="s">
        <v>132</v>
      </c>
      <c r="G12" s="29">
        <v>4</v>
      </c>
      <c r="H12" s="29">
        <v>1</v>
      </c>
      <c r="J12" s="29">
        <v>2</v>
      </c>
      <c r="K12" s="29">
        <v>1</v>
      </c>
      <c r="Q12" s="30">
        <v>4</v>
      </c>
      <c r="S12" s="31">
        <v>1</v>
      </c>
      <c r="T12" s="31">
        <v>2</v>
      </c>
      <c r="U12" s="31">
        <v>1</v>
      </c>
    </row>
    <row r="13" spans="1:26" ht="16.5" x14ac:dyDescent="0.25">
      <c r="A13" s="11"/>
      <c r="B13" s="27" t="s">
        <v>13</v>
      </c>
      <c r="C13" s="33" t="s">
        <v>121</v>
      </c>
      <c r="D13" s="34">
        <v>45317</v>
      </c>
      <c r="E13" s="27" t="s">
        <v>30</v>
      </c>
      <c r="F13" s="28" t="s">
        <v>133</v>
      </c>
      <c r="G13" s="29">
        <v>11</v>
      </c>
      <c r="H13" s="29">
        <v>1</v>
      </c>
      <c r="I13" s="29">
        <v>1</v>
      </c>
      <c r="J13" s="29">
        <v>2</v>
      </c>
      <c r="K13" s="29">
        <v>2</v>
      </c>
      <c r="L13" s="29">
        <v>2</v>
      </c>
      <c r="M13" s="29">
        <v>1</v>
      </c>
      <c r="N13" s="29">
        <v>1</v>
      </c>
      <c r="O13" s="29">
        <v>1</v>
      </c>
      <c r="P13" s="30">
        <v>5</v>
      </c>
      <c r="Q13" s="30">
        <v>3</v>
      </c>
      <c r="R13" s="30">
        <v>3</v>
      </c>
      <c r="S13" s="31">
        <v>1</v>
      </c>
      <c r="T13" s="31">
        <v>2</v>
      </c>
      <c r="U13" s="31">
        <v>2</v>
      </c>
      <c r="V13" s="31">
        <v>2</v>
      </c>
      <c r="W13" s="31">
        <v>1</v>
      </c>
      <c r="X13" s="31">
        <v>1</v>
      </c>
      <c r="Y13" s="31">
        <v>1</v>
      </c>
      <c r="Z13" s="31">
        <v>1</v>
      </c>
    </row>
  </sheetData>
  <sheetProtection sheet="1" objects="1" scenarios="1" formatColumns="0" sort="0" autoFilter="0"/>
  <conditionalFormatting sqref="G8">
    <cfRule type="expression" dxfId="220" priority="1">
      <formula>$G$7&lt;$G$8</formula>
    </cfRule>
  </conditionalFormatting>
  <conditionalFormatting sqref="H8">
    <cfRule type="expression" dxfId="219" priority="2">
      <formula>$H$7&lt;$H$8</formula>
    </cfRule>
  </conditionalFormatting>
  <conditionalFormatting sqref="I8">
    <cfRule type="expression" dxfId="218" priority="3">
      <formula>$I$7&lt;$I$8</formula>
    </cfRule>
  </conditionalFormatting>
  <conditionalFormatting sqref="J8">
    <cfRule type="expression" dxfId="217" priority="4">
      <formula>$J$7&lt;$J$8</formula>
    </cfRule>
  </conditionalFormatting>
  <conditionalFormatting sqref="K8">
    <cfRule type="expression" dxfId="216" priority="5">
      <formula>$K$7&lt;$K$8</formula>
    </cfRule>
  </conditionalFormatting>
  <conditionalFormatting sqref="L8">
    <cfRule type="expression" dxfId="215" priority="6">
      <formula>$L$7&lt;$L$8</formula>
    </cfRule>
  </conditionalFormatting>
  <conditionalFormatting sqref="M8">
    <cfRule type="expression" dxfId="214" priority="7">
      <formula>$M$7&lt;$M$8</formula>
    </cfRule>
  </conditionalFormatting>
  <conditionalFormatting sqref="N8">
    <cfRule type="expression" dxfId="213" priority="8">
      <formula>$N$7&lt;$N$8</formula>
    </cfRule>
  </conditionalFormatting>
  <conditionalFormatting sqref="O8">
    <cfRule type="expression" dxfId="212" priority="9">
      <formula>$O$7&lt;$O$8</formula>
    </cfRule>
  </conditionalFormatting>
  <conditionalFormatting sqref="P8">
    <cfRule type="expression" dxfId="211" priority="10">
      <formula>$P$7&lt;$P$8</formula>
    </cfRule>
  </conditionalFormatting>
  <conditionalFormatting sqref="Q8">
    <cfRule type="expression" dxfId="210" priority="11">
      <formula>$Q$7&lt;$Q$8</formula>
    </cfRule>
  </conditionalFormatting>
  <conditionalFormatting sqref="R8">
    <cfRule type="expression" dxfId="209" priority="12">
      <formula>$R$7&lt;$R$8</formula>
    </cfRule>
  </conditionalFormatting>
  <conditionalFormatting sqref="S8">
    <cfRule type="expression" dxfId="208" priority="13">
      <formula>$S$7&lt;$S$8</formula>
    </cfRule>
  </conditionalFormatting>
  <conditionalFormatting sqref="T8">
    <cfRule type="expression" dxfId="207" priority="14">
      <formula>$T$7&lt;$T$8</formula>
    </cfRule>
  </conditionalFormatting>
  <conditionalFormatting sqref="U8">
    <cfRule type="expression" dxfId="206" priority="15">
      <formula>$U$7&lt;$U$8</formula>
    </cfRule>
  </conditionalFormatting>
  <conditionalFormatting sqref="V8">
    <cfRule type="expression" dxfId="205" priority="16">
      <formula>$V$7&lt;$V$8</formula>
    </cfRule>
  </conditionalFormatting>
  <conditionalFormatting sqref="W8">
    <cfRule type="expression" dxfId="204" priority="17">
      <formula>$W$7&lt;$W$8</formula>
    </cfRule>
  </conditionalFormatting>
  <conditionalFormatting sqref="X8">
    <cfRule type="expression" dxfId="203" priority="18">
      <formula>$X$7&lt;$X$8</formula>
    </cfRule>
  </conditionalFormatting>
  <conditionalFormatting sqref="Y8">
    <cfRule type="expression" dxfId="202" priority="19">
      <formula>$Y$7&lt;$Y$8</formula>
    </cfRule>
  </conditionalFormatting>
  <conditionalFormatting sqref="Z8">
    <cfRule type="expression" dxfId="201" priority="20">
      <formula>$Z$7&lt;$Z$8</formula>
    </cfRule>
  </conditionalFormatting>
  <conditionalFormatting sqref="G9">
    <cfRule type="expression" dxfId="200" priority="21">
      <formula>$G$7&lt;$G$9</formula>
    </cfRule>
  </conditionalFormatting>
  <conditionalFormatting sqref="H9">
    <cfRule type="expression" dxfId="199" priority="22">
      <formula>$H$7&lt;$H$9</formula>
    </cfRule>
  </conditionalFormatting>
  <conditionalFormatting sqref="I9">
    <cfRule type="expression" dxfId="198" priority="23">
      <formula>$I$7&lt;$I$9</formula>
    </cfRule>
  </conditionalFormatting>
  <conditionalFormatting sqref="J9">
    <cfRule type="expression" dxfId="197" priority="24">
      <formula>$J$7&lt;$J$9</formula>
    </cfRule>
  </conditionalFormatting>
  <conditionalFormatting sqref="K9">
    <cfRule type="expression" dxfId="196" priority="25">
      <formula>$K$7&lt;$K$9</formula>
    </cfRule>
  </conditionalFormatting>
  <conditionalFormatting sqref="L9">
    <cfRule type="expression" dxfId="195" priority="26">
      <formula>$L$7&lt;$L$9</formula>
    </cfRule>
  </conditionalFormatting>
  <conditionalFormatting sqref="M9">
    <cfRule type="expression" dxfId="194" priority="27">
      <formula>$M$7&lt;$M$9</formula>
    </cfRule>
  </conditionalFormatting>
  <conditionalFormatting sqref="N9">
    <cfRule type="expression" dxfId="193" priority="28">
      <formula>$N$7&lt;$N$9</formula>
    </cfRule>
  </conditionalFormatting>
  <conditionalFormatting sqref="O9">
    <cfRule type="expression" dxfId="192" priority="29">
      <formula>$O$7&lt;$O$9</formula>
    </cfRule>
  </conditionalFormatting>
  <conditionalFormatting sqref="P9">
    <cfRule type="expression" dxfId="191" priority="30">
      <formula>$P$7&lt;$P$9</formula>
    </cfRule>
  </conditionalFormatting>
  <conditionalFormatting sqref="Q9">
    <cfRule type="expression" dxfId="190" priority="31">
      <formula>$Q$7&lt;$Q$9</formula>
    </cfRule>
  </conditionalFormatting>
  <conditionalFormatting sqref="R9">
    <cfRule type="expression" dxfId="189" priority="32">
      <formula>$R$7&lt;$R$9</formula>
    </cfRule>
  </conditionalFormatting>
  <conditionalFormatting sqref="S9">
    <cfRule type="expression" dxfId="188" priority="33">
      <formula>$S$7&lt;$S$9</formula>
    </cfRule>
  </conditionalFormatting>
  <conditionalFormatting sqref="T9">
    <cfRule type="expression" dxfId="187" priority="34">
      <formula>$T$7&lt;$T$9</formula>
    </cfRule>
  </conditionalFormatting>
  <conditionalFormatting sqref="U9">
    <cfRule type="expression" dxfId="186" priority="35">
      <formula>$U$7&lt;$U$9</formula>
    </cfRule>
  </conditionalFormatting>
  <conditionalFormatting sqref="V9">
    <cfRule type="expression" dxfId="185" priority="36">
      <formula>$V$7&lt;$V$9</formula>
    </cfRule>
  </conditionalFormatting>
  <conditionalFormatting sqref="W9">
    <cfRule type="expression" dxfId="184" priority="37">
      <formula>$W$7&lt;$W$9</formula>
    </cfRule>
  </conditionalFormatting>
  <conditionalFormatting sqref="X9">
    <cfRule type="expression" dxfId="183" priority="38">
      <formula>$X$7&lt;$X$9</formula>
    </cfRule>
  </conditionalFormatting>
  <conditionalFormatting sqref="Y9">
    <cfRule type="expression" dxfId="182" priority="39">
      <formula>$Y$7&lt;$Y$9</formula>
    </cfRule>
  </conditionalFormatting>
  <conditionalFormatting sqref="Z9">
    <cfRule type="expression" dxfId="181" priority="40">
      <formula>$Z$7&lt;$Z$9</formula>
    </cfRule>
  </conditionalFormatting>
  <conditionalFormatting sqref="G10">
    <cfRule type="expression" dxfId="180" priority="41">
      <formula>$G$7&lt;$G$10</formula>
    </cfRule>
  </conditionalFormatting>
  <conditionalFormatting sqref="H10">
    <cfRule type="expression" dxfId="179" priority="42">
      <formula>$H$7&lt;$H$10</formula>
    </cfRule>
  </conditionalFormatting>
  <conditionalFormatting sqref="I10">
    <cfRule type="expression" dxfId="178" priority="43">
      <formula>$I$7&lt;$I$10</formula>
    </cfRule>
  </conditionalFormatting>
  <conditionalFormatting sqref="J10">
    <cfRule type="expression" dxfId="177" priority="44">
      <formula>$J$7&lt;$J$10</formula>
    </cfRule>
  </conditionalFormatting>
  <conditionalFormatting sqref="K10">
    <cfRule type="expression" dxfId="176" priority="45">
      <formula>$K$7&lt;$K$10</formula>
    </cfRule>
  </conditionalFormatting>
  <conditionalFormatting sqref="L10">
    <cfRule type="expression" dxfId="175" priority="46">
      <formula>$L$7&lt;$L$10</formula>
    </cfRule>
  </conditionalFormatting>
  <conditionalFormatting sqref="M10">
    <cfRule type="expression" dxfId="174" priority="47">
      <formula>$M$7&lt;$M$10</formula>
    </cfRule>
  </conditionalFormatting>
  <conditionalFormatting sqref="N10">
    <cfRule type="expression" dxfId="173" priority="48">
      <formula>$N$7&lt;$N$10</formula>
    </cfRule>
  </conditionalFormatting>
  <conditionalFormatting sqref="O10">
    <cfRule type="expression" dxfId="172" priority="49">
      <formula>$O$7&lt;$O$10</formula>
    </cfRule>
  </conditionalFormatting>
  <conditionalFormatting sqref="P10">
    <cfRule type="expression" dxfId="171" priority="50">
      <formula>$P$7&lt;$P$10</formula>
    </cfRule>
  </conditionalFormatting>
  <conditionalFormatting sqref="Q10">
    <cfRule type="expression" dxfId="170" priority="51">
      <formula>$Q$7&lt;$Q$10</formula>
    </cfRule>
  </conditionalFormatting>
  <conditionalFormatting sqref="R10">
    <cfRule type="expression" dxfId="169" priority="52">
      <formula>$R$7&lt;$R$10</formula>
    </cfRule>
  </conditionalFormatting>
  <conditionalFormatting sqref="S10">
    <cfRule type="expression" dxfId="168" priority="53">
      <formula>$S$7&lt;$S$10</formula>
    </cfRule>
  </conditionalFormatting>
  <conditionalFormatting sqref="T10">
    <cfRule type="expression" dxfId="167" priority="54">
      <formula>$T$7&lt;$T$10</formula>
    </cfRule>
  </conditionalFormatting>
  <conditionalFormatting sqref="U10">
    <cfRule type="expression" dxfId="166" priority="55">
      <formula>$U$7&lt;$U$10</formula>
    </cfRule>
  </conditionalFormatting>
  <conditionalFormatting sqref="V10">
    <cfRule type="expression" dxfId="165" priority="56">
      <formula>$V$7&lt;$V$10</formula>
    </cfRule>
  </conditionalFormatting>
  <conditionalFormatting sqref="W10">
    <cfRule type="expression" dxfId="164" priority="57">
      <formula>$W$7&lt;$W$10</formula>
    </cfRule>
  </conditionalFormatting>
  <conditionalFormatting sqref="X10">
    <cfRule type="expression" dxfId="163" priority="58">
      <formula>$X$7&lt;$X$10</formula>
    </cfRule>
  </conditionalFormatting>
  <conditionalFormatting sqref="Y10">
    <cfRule type="expression" dxfId="162" priority="59">
      <formula>$Y$7&lt;$Y$10</formula>
    </cfRule>
  </conditionalFormatting>
  <conditionalFormatting sqref="Z10">
    <cfRule type="expression" dxfId="161" priority="60">
      <formula>$Z$7&lt;$Z$10</formula>
    </cfRule>
  </conditionalFormatting>
  <conditionalFormatting sqref="G11">
    <cfRule type="expression" dxfId="160" priority="61">
      <formula>$G$7&lt;$G$11</formula>
    </cfRule>
  </conditionalFormatting>
  <conditionalFormatting sqref="H11">
    <cfRule type="expression" dxfId="159" priority="62">
      <formula>$H$7&lt;$H$11</formula>
    </cfRule>
  </conditionalFormatting>
  <conditionalFormatting sqref="I11">
    <cfRule type="expression" dxfId="158" priority="63">
      <formula>$I$7&lt;$I$11</formula>
    </cfRule>
  </conditionalFormatting>
  <conditionalFormatting sqref="J11">
    <cfRule type="expression" dxfId="157" priority="64">
      <formula>$J$7&lt;$J$11</formula>
    </cfRule>
  </conditionalFormatting>
  <conditionalFormatting sqref="K11">
    <cfRule type="expression" dxfId="156" priority="65">
      <formula>$K$7&lt;$K$11</formula>
    </cfRule>
  </conditionalFormatting>
  <conditionalFormatting sqref="L11">
    <cfRule type="expression" dxfId="155" priority="66">
      <formula>$L$7&lt;$L$11</formula>
    </cfRule>
  </conditionalFormatting>
  <conditionalFormatting sqref="M11">
    <cfRule type="expression" dxfId="154" priority="67">
      <formula>$M$7&lt;$M$11</formula>
    </cfRule>
  </conditionalFormatting>
  <conditionalFormatting sqref="N11">
    <cfRule type="expression" dxfId="153" priority="68">
      <formula>$N$7&lt;$N$11</formula>
    </cfRule>
  </conditionalFormatting>
  <conditionalFormatting sqref="O11">
    <cfRule type="expression" dxfId="152" priority="69">
      <formula>$O$7&lt;$O$11</formula>
    </cfRule>
  </conditionalFormatting>
  <conditionalFormatting sqref="P11">
    <cfRule type="expression" dxfId="151" priority="70">
      <formula>$P$7&lt;$P$11</formula>
    </cfRule>
  </conditionalFormatting>
  <conditionalFormatting sqref="Q11">
    <cfRule type="expression" dxfId="150" priority="71">
      <formula>$Q$7&lt;$Q$11</formula>
    </cfRule>
  </conditionalFormatting>
  <conditionalFormatting sqref="R11">
    <cfRule type="expression" dxfId="149" priority="72">
      <formula>$R$7&lt;$R$11</formula>
    </cfRule>
  </conditionalFormatting>
  <conditionalFormatting sqref="S11">
    <cfRule type="expression" dxfId="148" priority="73">
      <formula>$S$7&lt;$S$11</formula>
    </cfRule>
  </conditionalFormatting>
  <conditionalFormatting sqref="T11">
    <cfRule type="expression" dxfId="147" priority="74">
      <formula>$T$7&lt;$T$11</formula>
    </cfRule>
  </conditionalFormatting>
  <conditionalFormatting sqref="U11">
    <cfRule type="expression" dxfId="146" priority="75">
      <formula>$U$7&lt;$U$11</formula>
    </cfRule>
  </conditionalFormatting>
  <conditionalFormatting sqref="V11">
    <cfRule type="expression" dxfId="145" priority="76">
      <formula>$V$7&lt;$V$11</formula>
    </cfRule>
  </conditionalFormatting>
  <conditionalFormatting sqref="W11">
    <cfRule type="expression" dxfId="144" priority="77">
      <formula>$W$7&lt;$W$11</formula>
    </cfRule>
  </conditionalFormatting>
  <conditionalFormatting sqref="X11">
    <cfRule type="expression" dxfId="143" priority="78">
      <formula>$X$7&lt;$X$11</formula>
    </cfRule>
  </conditionalFormatting>
  <conditionalFormatting sqref="Y11">
    <cfRule type="expression" dxfId="142" priority="79">
      <formula>$Y$7&lt;$Y$11</formula>
    </cfRule>
  </conditionalFormatting>
  <conditionalFormatting sqref="Z11">
    <cfRule type="expression" dxfId="141" priority="80">
      <formula>$Z$7&lt;$Z$11</formula>
    </cfRule>
  </conditionalFormatting>
  <conditionalFormatting sqref="G12">
    <cfRule type="expression" dxfId="140" priority="81">
      <formula>$G$7&lt;$G$12</formula>
    </cfRule>
  </conditionalFormatting>
  <conditionalFormatting sqref="H12">
    <cfRule type="expression" dxfId="139" priority="82">
      <formula>$H$7&lt;$H$12</formula>
    </cfRule>
  </conditionalFormatting>
  <conditionalFormatting sqref="I12">
    <cfRule type="expression" dxfId="138" priority="83">
      <formula>$I$7&lt;$I$12</formula>
    </cfRule>
  </conditionalFormatting>
  <conditionalFormatting sqref="J12">
    <cfRule type="expression" dxfId="137" priority="84">
      <formula>$J$7&lt;$J$12</formula>
    </cfRule>
  </conditionalFormatting>
  <conditionalFormatting sqref="K12">
    <cfRule type="expression" dxfId="136" priority="85">
      <formula>$K$7&lt;$K$12</formula>
    </cfRule>
  </conditionalFormatting>
  <conditionalFormatting sqref="L12">
    <cfRule type="expression" dxfId="135" priority="86">
      <formula>$L$7&lt;$L$12</formula>
    </cfRule>
  </conditionalFormatting>
  <conditionalFormatting sqref="M12">
    <cfRule type="expression" dxfId="134" priority="87">
      <formula>$M$7&lt;$M$12</formula>
    </cfRule>
  </conditionalFormatting>
  <conditionalFormatting sqref="N12">
    <cfRule type="expression" dxfId="133" priority="88">
      <formula>$N$7&lt;$N$12</formula>
    </cfRule>
  </conditionalFormatting>
  <conditionalFormatting sqref="O12">
    <cfRule type="expression" dxfId="132" priority="89">
      <formula>$O$7&lt;$O$12</formula>
    </cfRule>
  </conditionalFormatting>
  <conditionalFormatting sqref="P12">
    <cfRule type="expression" dxfId="131" priority="90">
      <formula>$P$7&lt;$P$12</formula>
    </cfRule>
  </conditionalFormatting>
  <conditionalFormatting sqref="Q12">
    <cfRule type="expression" dxfId="130" priority="91">
      <formula>$Q$7&lt;$Q$12</formula>
    </cfRule>
  </conditionalFormatting>
  <conditionalFormatting sqref="R12">
    <cfRule type="expression" dxfId="129" priority="92">
      <formula>$R$7&lt;$R$12</formula>
    </cfRule>
  </conditionalFormatting>
  <conditionalFormatting sqref="S12">
    <cfRule type="expression" dxfId="128" priority="93">
      <formula>$S$7&lt;$S$12</formula>
    </cfRule>
  </conditionalFormatting>
  <conditionalFormatting sqref="T12">
    <cfRule type="expression" dxfId="127" priority="94">
      <formula>$T$7&lt;$T$12</formula>
    </cfRule>
  </conditionalFormatting>
  <conditionalFormatting sqref="U12">
    <cfRule type="expression" dxfId="126" priority="95">
      <formula>$U$7&lt;$U$12</formula>
    </cfRule>
  </conditionalFormatting>
  <conditionalFormatting sqref="V12">
    <cfRule type="expression" dxfId="125" priority="96">
      <formula>$V$7&lt;$V$12</formula>
    </cfRule>
  </conditionalFormatting>
  <conditionalFormatting sqref="W12">
    <cfRule type="expression" dxfId="124" priority="97">
      <formula>$W$7&lt;$W$12</formula>
    </cfRule>
  </conditionalFormatting>
  <conditionalFormatting sqref="X12">
    <cfRule type="expression" dxfId="123" priority="98">
      <formula>$X$7&lt;$X$12</formula>
    </cfRule>
  </conditionalFormatting>
  <conditionalFormatting sqref="Y12">
    <cfRule type="expression" dxfId="122" priority="99">
      <formula>$Y$7&lt;$Y$12</formula>
    </cfRule>
  </conditionalFormatting>
  <conditionalFormatting sqref="Z12">
    <cfRule type="expression" dxfId="121" priority="100">
      <formula>$Z$7&lt;$Z$12</formula>
    </cfRule>
  </conditionalFormatting>
  <conditionalFormatting sqref="G13">
    <cfRule type="expression" dxfId="120" priority="101">
      <formula>$G$7&lt;$G$13</formula>
    </cfRule>
  </conditionalFormatting>
  <conditionalFormatting sqref="H13">
    <cfRule type="expression" dxfId="119" priority="102">
      <formula>$H$7&lt;$H$13</formula>
    </cfRule>
  </conditionalFormatting>
  <conditionalFormatting sqref="I13">
    <cfRule type="expression" dxfId="118" priority="103">
      <formula>$I$7&lt;$I$13</formula>
    </cfRule>
  </conditionalFormatting>
  <conditionalFormatting sqref="J13">
    <cfRule type="expression" dxfId="117" priority="104">
      <formula>$J$7&lt;$J$13</formula>
    </cfRule>
  </conditionalFormatting>
  <conditionalFormatting sqref="K13">
    <cfRule type="expression" dxfId="116" priority="105">
      <formula>$K$7&lt;$K$13</formula>
    </cfRule>
  </conditionalFormatting>
  <conditionalFormatting sqref="L13">
    <cfRule type="expression" dxfId="115" priority="106">
      <formula>$L$7&lt;$L$13</formula>
    </cfRule>
  </conditionalFormatting>
  <conditionalFormatting sqref="M13">
    <cfRule type="expression" dxfId="114" priority="107">
      <formula>$M$7&lt;$M$13</formula>
    </cfRule>
  </conditionalFormatting>
  <conditionalFormatting sqref="N13">
    <cfRule type="expression" dxfId="113" priority="108">
      <formula>$N$7&lt;$N$13</formula>
    </cfRule>
  </conditionalFormatting>
  <conditionalFormatting sqref="O13">
    <cfRule type="expression" dxfId="112" priority="109">
      <formula>$O$7&lt;$O$13</formula>
    </cfRule>
  </conditionalFormatting>
  <conditionalFormatting sqref="P13">
    <cfRule type="expression" dxfId="111" priority="110">
      <formula>$P$7&lt;$P$13</formula>
    </cfRule>
  </conditionalFormatting>
  <conditionalFormatting sqref="Q13">
    <cfRule type="expression" dxfId="110" priority="111">
      <formula>$Q$7&lt;$Q$13</formula>
    </cfRule>
  </conditionalFormatting>
  <conditionalFormatting sqref="R13">
    <cfRule type="expression" dxfId="109" priority="112">
      <formula>$R$7&lt;$R$13</formula>
    </cfRule>
  </conditionalFormatting>
  <conditionalFormatting sqref="S13">
    <cfRule type="expression" dxfId="108" priority="113">
      <formula>$S$7&lt;$S$13</formula>
    </cfRule>
  </conditionalFormatting>
  <conditionalFormatting sqref="T13">
    <cfRule type="expression" dxfId="107" priority="114">
      <formula>$T$7&lt;$T$13</formula>
    </cfRule>
  </conditionalFormatting>
  <conditionalFormatting sqref="U13">
    <cfRule type="expression" dxfId="106" priority="115">
      <formula>$U$7&lt;$U$13</formula>
    </cfRule>
  </conditionalFormatting>
  <conditionalFormatting sqref="V13">
    <cfRule type="expression" dxfId="105" priority="116">
      <formula>$V$7&lt;$V$13</formula>
    </cfRule>
  </conditionalFormatting>
  <conditionalFormatting sqref="W13">
    <cfRule type="expression" dxfId="104" priority="117">
      <formula>$W$7&lt;$W$13</formula>
    </cfRule>
  </conditionalFormatting>
  <conditionalFormatting sqref="X13">
    <cfRule type="expression" dxfId="103" priority="118">
      <formula>$X$7&lt;$X$13</formula>
    </cfRule>
  </conditionalFormatting>
  <conditionalFormatting sqref="Y13">
    <cfRule type="expression" dxfId="102" priority="119">
      <formula>$Y$7&lt;$Y$13</formula>
    </cfRule>
  </conditionalFormatting>
  <conditionalFormatting sqref="Z13">
    <cfRule type="expression" dxfId="101" priority="120">
      <formula>$Z$7&lt;$Z$13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900" r:id="rId4" name="Button 12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1" r:id="rId5" name="Button 125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2" r:id="rId6" name="Button 126">
              <controlPr defaultSize="0" print="0" autoFill="0" autoPict="0" macro="[0]!ClearRepor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3" r:id="rId7" name="Button 127">
              <controlPr defaultSize="0" print="0" autoFill="0" autoPict="0" macro="[0]!PullReportTotals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4" r:id="rId8" name="Button 128">
              <controlPr defaultSize="0" print="0" autoFill="0" autoPict="0" macro="[0]!ClearReportTotals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5" r:id="rId9" name="Button 129">
              <controlPr defaultSize="0" print="0" autoFill="0" autoPict="0" macro="[0]!LocalSave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6" r:id="rId10" name="Button 130">
              <controlPr defaultSize="0" print="0" autoFill="0" autoPict="0" macro="[0]!SharePointExport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B41D0-3ACD-492B-8095-14FC5FAE160E}">
  <sheetPr codeName="Sheet2"/>
  <dimension ref="A1:K18"/>
  <sheetViews>
    <sheetView zoomScaleNormal="100" workbookViewId="0">
      <selection activeCell="R15" sqref="R15"/>
    </sheetView>
  </sheetViews>
  <sheetFormatPr defaultRowHeight="15" x14ac:dyDescent="0.25"/>
  <cols>
    <col min="1" max="1" width="8.7109375" style="7" bestFit="1" customWidth="1"/>
    <col min="2" max="2" width="9.28515625" style="7" bestFit="1" customWidth="1"/>
    <col min="3" max="3" width="12.7109375" style="7" bestFit="1" customWidth="1"/>
    <col min="4" max="4" width="11" style="7" bestFit="1" customWidth="1"/>
    <col min="5" max="5" width="10" style="7" bestFit="1" customWidth="1"/>
    <col min="6" max="6" width="8.7109375" style="7" bestFit="1" customWidth="1"/>
    <col min="7" max="7" width="12.85546875" style="7" bestFit="1" customWidth="1"/>
    <col min="8" max="8" width="10" style="7" bestFit="1" customWidth="1"/>
    <col min="9" max="9" width="8.5703125" style="7" bestFit="1" customWidth="1"/>
    <col min="10" max="10" width="7.140625" style="7" bestFit="1" customWidth="1"/>
    <col min="11" max="11" width="6" style="7" bestFit="1" customWidth="1"/>
    <col min="12" max="16384" width="9.140625" style="7"/>
  </cols>
  <sheetData>
    <row r="1" spans="1:11" s="14" customFormat="1" x14ac:dyDescent="0.25"/>
    <row r="2" spans="1:11" s="14" customFormat="1" x14ac:dyDescent="0.25"/>
    <row r="3" spans="1:11" s="14" customFormat="1" x14ac:dyDescent="0.25"/>
    <row r="4" spans="1:11" s="14" customFormat="1" x14ac:dyDescent="0.25"/>
    <row r="5" spans="1:11" s="14" customFormat="1" x14ac:dyDescent="0.25"/>
    <row r="6" spans="1:11" x14ac:dyDescent="0.25">
      <c r="A6" s="21" t="s">
        <v>57</v>
      </c>
      <c r="B6" s="21" t="s">
        <v>64</v>
      </c>
      <c r="C6" s="21" t="s">
        <v>65</v>
      </c>
      <c r="D6" s="21" t="s">
        <v>3</v>
      </c>
      <c r="E6" s="21" t="s">
        <v>4</v>
      </c>
      <c r="F6" s="21" t="s">
        <v>5</v>
      </c>
      <c r="G6" s="21" t="s">
        <v>66</v>
      </c>
      <c r="H6" s="21" t="s">
        <v>67</v>
      </c>
      <c r="I6" s="22" t="s">
        <v>106</v>
      </c>
      <c r="J6" s="7" t="s">
        <v>134</v>
      </c>
      <c r="K6" s="7" t="s">
        <v>135</v>
      </c>
    </row>
    <row r="7" spans="1:11" ht="16.5" x14ac:dyDescent="0.25">
      <c r="A7" s="36"/>
      <c r="B7" s="37" t="s">
        <v>68</v>
      </c>
      <c r="C7" s="37" t="s">
        <v>69</v>
      </c>
      <c r="D7" s="37" t="s">
        <v>9</v>
      </c>
      <c r="E7" s="37" t="s">
        <v>10</v>
      </c>
      <c r="F7" s="37">
        <v>6</v>
      </c>
      <c r="G7" s="37" t="s">
        <v>92</v>
      </c>
      <c r="H7" s="37" t="s">
        <v>93</v>
      </c>
      <c r="I7" s="38"/>
      <c r="J7" s="7">
        <f ca="1">RANDBETWEEN(0, 4)</f>
        <v>1</v>
      </c>
      <c r="K7" s="7" t="s">
        <v>136</v>
      </c>
    </row>
    <row r="8" spans="1:11" ht="16.5" x14ac:dyDescent="0.25">
      <c r="A8" s="36"/>
      <c r="B8" s="37" t="s">
        <v>70</v>
      </c>
      <c r="C8" s="37" t="s">
        <v>71</v>
      </c>
      <c r="D8" s="37" t="s">
        <v>18</v>
      </c>
      <c r="E8" s="37" t="s">
        <v>10</v>
      </c>
      <c r="F8" s="37">
        <v>7</v>
      </c>
      <c r="G8" s="37" t="s">
        <v>92</v>
      </c>
      <c r="H8" s="37" t="s">
        <v>93</v>
      </c>
      <c r="I8" s="38"/>
      <c r="J8" s="7">
        <f t="shared" ref="J8:J18" ca="1" si="0">RANDBETWEEN(0, 4)</f>
        <v>1</v>
      </c>
      <c r="K8" s="7" t="s">
        <v>136</v>
      </c>
    </row>
    <row r="9" spans="1:11" ht="16.5" x14ac:dyDescent="0.25">
      <c r="A9" s="36"/>
      <c r="B9" s="37" t="s">
        <v>72</v>
      </c>
      <c r="C9" s="37" t="s">
        <v>73</v>
      </c>
      <c r="D9" s="37" t="s">
        <v>18</v>
      </c>
      <c r="E9" s="37" t="s">
        <v>10</v>
      </c>
      <c r="F9" s="37">
        <v>7</v>
      </c>
      <c r="G9" s="37" t="s">
        <v>92</v>
      </c>
      <c r="H9" s="37" t="s">
        <v>93</v>
      </c>
      <c r="I9" s="38"/>
      <c r="J9" s="7">
        <f t="shared" ca="1" si="0"/>
        <v>3</v>
      </c>
      <c r="K9" s="7" t="s">
        <v>136</v>
      </c>
    </row>
    <row r="10" spans="1:11" ht="16.5" x14ac:dyDescent="0.25">
      <c r="A10" s="36"/>
      <c r="B10" s="37" t="s">
        <v>74</v>
      </c>
      <c r="C10" s="37" t="s">
        <v>75</v>
      </c>
      <c r="D10" s="37" t="s">
        <v>22</v>
      </c>
      <c r="E10" s="37" t="s">
        <v>10</v>
      </c>
      <c r="F10" s="37">
        <v>8</v>
      </c>
      <c r="G10" s="37" t="s">
        <v>92</v>
      </c>
      <c r="H10" s="37" t="s">
        <v>93</v>
      </c>
      <c r="I10" s="38"/>
      <c r="J10" s="7">
        <f t="shared" ca="1" si="0"/>
        <v>2</v>
      </c>
      <c r="K10" s="7" t="s">
        <v>136</v>
      </c>
    </row>
    <row r="11" spans="1:11" ht="16.5" x14ac:dyDescent="0.25">
      <c r="A11" s="36"/>
      <c r="B11" s="37" t="s">
        <v>76</v>
      </c>
      <c r="C11" s="37" t="s">
        <v>77</v>
      </c>
      <c r="D11" s="37" t="s">
        <v>22</v>
      </c>
      <c r="E11" s="37" t="s">
        <v>15</v>
      </c>
      <c r="F11" s="37">
        <v>8</v>
      </c>
      <c r="G11" s="37" t="s">
        <v>94</v>
      </c>
      <c r="H11" s="37" t="s">
        <v>84</v>
      </c>
      <c r="I11" s="38"/>
      <c r="J11" s="7">
        <f t="shared" ca="1" si="0"/>
        <v>2</v>
      </c>
      <c r="K11" s="7" t="s">
        <v>136</v>
      </c>
    </row>
    <row r="12" spans="1:11" ht="16.5" x14ac:dyDescent="0.25">
      <c r="A12" s="36"/>
      <c r="B12" s="37" t="s">
        <v>78</v>
      </c>
      <c r="C12" s="37" t="s">
        <v>79</v>
      </c>
      <c r="D12" s="37" t="s">
        <v>22</v>
      </c>
      <c r="E12" s="37" t="s">
        <v>15</v>
      </c>
      <c r="F12" s="37">
        <v>8</v>
      </c>
      <c r="G12" s="37" t="s">
        <v>95</v>
      </c>
      <c r="H12" s="37" t="s">
        <v>96</v>
      </c>
      <c r="I12" s="38"/>
      <c r="J12" s="7">
        <f t="shared" ca="1" si="0"/>
        <v>3</v>
      </c>
      <c r="K12" s="7" t="s">
        <v>136</v>
      </c>
    </row>
    <row r="13" spans="1:11" ht="16.5" x14ac:dyDescent="0.25">
      <c r="A13" s="36"/>
      <c r="B13" s="37" t="s">
        <v>80</v>
      </c>
      <c r="C13" s="37" t="s">
        <v>81</v>
      </c>
      <c r="D13" s="37" t="s">
        <v>14</v>
      </c>
      <c r="E13" s="37" t="s">
        <v>15</v>
      </c>
      <c r="F13" s="37">
        <v>9</v>
      </c>
      <c r="G13" s="37" t="s">
        <v>97</v>
      </c>
      <c r="H13" s="37" t="s">
        <v>93</v>
      </c>
      <c r="I13" s="38"/>
      <c r="J13" s="7">
        <f t="shared" ca="1" si="0"/>
        <v>3</v>
      </c>
      <c r="K13" s="7" t="s">
        <v>136</v>
      </c>
    </row>
    <row r="14" spans="1:11" ht="16.5" x14ac:dyDescent="0.25">
      <c r="A14" s="36"/>
      <c r="B14" s="37" t="s">
        <v>82</v>
      </c>
      <c r="C14" s="37" t="s">
        <v>83</v>
      </c>
      <c r="D14" s="37" t="s">
        <v>25</v>
      </c>
      <c r="E14" s="37" t="s">
        <v>15</v>
      </c>
      <c r="F14" s="37">
        <v>9</v>
      </c>
      <c r="G14" s="37" t="s">
        <v>98</v>
      </c>
      <c r="H14" s="37" t="s">
        <v>84</v>
      </c>
      <c r="I14" s="38"/>
      <c r="J14" s="7">
        <f t="shared" ca="1" si="0"/>
        <v>3</v>
      </c>
      <c r="K14" s="7" t="s">
        <v>136</v>
      </c>
    </row>
    <row r="15" spans="1:11" ht="16.5" x14ac:dyDescent="0.25">
      <c r="A15" s="36"/>
      <c r="B15" s="37" t="s">
        <v>85</v>
      </c>
      <c r="C15" s="37" t="s">
        <v>86</v>
      </c>
      <c r="D15" s="37" t="s">
        <v>25</v>
      </c>
      <c r="E15" s="37" t="s">
        <v>15</v>
      </c>
      <c r="F15" s="37">
        <v>10</v>
      </c>
      <c r="G15" s="37" t="s">
        <v>99</v>
      </c>
      <c r="H15" s="37" t="s">
        <v>100</v>
      </c>
      <c r="I15" s="38"/>
      <c r="J15" s="7">
        <f t="shared" ca="1" si="0"/>
        <v>0</v>
      </c>
      <c r="K15" s="7" t="s">
        <v>136</v>
      </c>
    </row>
    <row r="16" spans="1:11" ht="16.5" x14ac:dyDescent="0.25">
      <c r="A16" s="36"/>
      <c r="B16" s="37" t="s">
        <v>87</v>
      </c>
      <c r="C16" s="37" t="s">
        <v>9</v>
      </c>
      <c r="D16" s="37" t="s">
        <v>28</v>
      </c>
      <c r="E16" s="37" t="s">
        <v>19</v>
      </c>
      <c r="F16" s="37">
        <v>11</v>
      </c>
      <c r="G16" s="37" t="s">
        <v>101</v>
      </c>
      <c r="H16" s="37" t="s">
        <v>96</v>
      </c>
      <c r="I16" s="38"/>
      <c r="J16" s="7">
        <f t="shared" ca="1" si="0"/>
        <v>3</v>
      </c>
      <c r="K16" s="7" t="s">
        <v>137</v>
      </c>
    </row>
    <row r="17" spans="1:11" ht="16.5" x14ac:dyDescent="0.25">
      <c r="A17" s="36"/>
      <c r="B17" s="37" t="s">
        <v>88</v>
      </c>
      <c r="C17" s="37" t="s">
        <v>89</v>
      </c>
      <c r="D17" s="37" t="s">
        <v>31</v>
      </c>
      <c r="E17" s="37"/>
      <c r="F17" s="37">
        <v>12</v>
      </c>
      <c r="G17" s="37" t="s">
        <v>102</v>
      </c>
      <c r="H17" s="37" t="s">
        <v>103</v>
      </c>
      <c r="I17" s="38"/>
      <c r="J17" s="7">
        <f t="shared" ca="1" si="0"/>
        <v>3</v>
      </c>
      <c r="K17" s="7" t="s">
        <v>137</v>
      </c>
    </row>
    <row r="18" spans="1:11" ht="16.5" x14ac:dyDescent="0.25">
      <c r="A18" s="39"/>
      <c r="B18" s="15" t="s">
        <v>90</v>
      </c>
      <c r="C18" s="15" t="s">
        <v>91</v>
      </c>
      <c r="D18" s="15"/>
      <c r="E18" s="15"/>
      <c r="F18" s="15"/>
      <c r="G18" s="15" t="s">
        <v>92</v>
      </c>
      <c r="H18" s="15" t="s">
        <v>93</v>
      </c>
      <c r="I18" s="16"/>
      <c r="J18" s="7">
        <f t="shared" ca="1" si="0"/>
        <v>1</v>
      </c>
      <c r="K18" s="7" t="s">
        <v>137</v>
      </c>
    </row>
  </sheetData>
  <sheetProtection sheet="1" objects="1" scenarios="1" selectLockedCells="1" sort="0" autoFilter="0"/>
  <conditionalFormatting sqref="B7:K18">
    <cfRule type="containsBlanks" dxfId="99" priority="1">
      <formula>LEN(TRIM(B7))=0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ReadRoster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RosterSheetClear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7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8" name="Button 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9" name="Button 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57C3193-1A2B-4E38-B9FB-5A59917A877D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BA0F04FC-35CB-4745-82A7-33D6CD3A101F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BB193E8E-6237-4777-9E52-EA8E12A6904F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86223A68-F882-47D1-9D00-7B1442DD8E91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84356A49-C04E-4D00-ABF3-93FE94462481}">
            <xm:f>AND(ISERROR(MATCH(TRIM($D$11),'Ref Tables'!$F$2:$F$9,0)), NOT(ISBLANK($D$11)))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7" id="{B235211D-102F-42B3-B528-7DE703880723}">
            <xm:f>AND(ISERROR(MATCH(TRIM($D$12),'Ref Tables'!$F$2:$F$9,0)), NOT(ISBLANK($D$12)))</xm:f>
            <x14:dxf>
              <fill>
                <patternFill>
                  <bgColor rgb="FFFF0000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8" id="{47ABA331-4C0B-4C4E-817A-1C58F0A26B11}">
            <xm:f>AND(ISERROR(MATCH(TRIM($D$13),'Ref Tables'!$F$2:$F$9,0)), NOT(ISBLANK($D$13)))</xm:f>
            <x14:dxf>
              <fill>
                <patternFill>
                  <bgColor rgb="FFFF0000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9" id="{4611897A-9E3E-43AC-ABC0-BFD8078E0018}">
            <xm:f>AND(ISERROR(MATCH(TRIM($D$14),'Ref Tables'!$F$2:$F$9,0)), NOT(ISBLANK($D$14)))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0" id="{6558D08D-18BB-406D-AABF-C7E390925C18}">
            <xm:f>AND(ISERROR(MATCH(TRIM($D$15),'Ref Tables'!$F$2:$F$9,0)), NOT(ISBLANK($D$15)))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1" id="{4F8C5A49-994B-435B-823C-EFBB499C5FC1}">
            <xm:f>AND(ISERROR(MATCH(TRIM($D$16),'Ref Tables'!$F$2:$F$9,0)), NOT(ISBLANK($D$16)))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819032B7-BF55-4E89-B755-2D984C17238B}">
            <xm:f>AND(ISERROR(MATCH(TRIM($D$17),'Ref Tables'!$F$2:$F$9,0)), NOT(ISBLANK($D$17)))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3" id="{06632EA3-E486-4EE0-8E99-316E56966E63}">
            <xm:f>AND(ISERROR(MATCH(TRIM($D$18),'Ref Tables'!$F$2:$F$9,0)), NOT(ISBLANK($D$18)))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4" id="{D08FFB96-58E9-4AA8-9775-AA6F9B01A74B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5" id="{BFC3F40D-6F66-4A37-B00F-B10D8223ED13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6" id="{062C2133-A3F0-4FAA-919F-254F6C16F7B6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7" id="{255BD29C-A302-495B-915A-FA3872EEC566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8" id="{88F70129-7ABE-489A-B0C5-39F9D67779EF}">
            <xm:f>AND(ISERROR(MATCH(TRIM($E$11),'Ref Tables'!$H$2:$H$4,0)), NOT(ISBLANK($E$11)))</xm:f>
            <x14:dxf>
              <fill>
                <patternFill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19" id="{F83B120B-D84A-452C-866C-0F260C96658C}">
            <xm:f>AND(ISERROR(MATCH(TRIM($E$12),'Ref Tables'!$H$2:$H$4,0)), NOT(ISBLANK($E$12)))</xm:f>
            <x14:dxf>
              <fill>
                <patternFill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0" id="{55FD007C-2B8D-40D4-9FAA-9FDDBB18615F}">
            <xm:f>AND(ISERROR(MATCH(TRIM($E$13),'Ref Tables'!$H$2:$H$4,0)), NOT(ISBLANK($E$13)))</xm:f>
            <x14:dxf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1" id="{5A66265C-54B9-42E0-BB13-C91898ECBF0D}">
            <xm:f>AND(ISERROR(MATCH(TRIM($E$14),'Ref Tables'!$H$2:$H$4,0)), NOT(ISBLANK($E$14)))</xm:f>
            <x14:dxf>
              <fill>
                <patternFill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" id="{FC454FC7-BCA0-4859-82E2-A24E634261CE}">
            <xm:f>AND(ISERROR(MATCH(TRIM($E$15),'Ref Tables'!$H$2:$H$4,0)), NOT(ISBLANK($E$15)))</xm:f>
            <x14:dxf>
              <fill>
                <patternFill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3" id="{6E859D5B-F9C3-43DE-8085-177D0CF698CA}">
            <xm:f>AND(ISERROR(MATCH(TRIM($E$16),'Ref Tables'!$H$2:$H$4,0)), NOT(ISBLANK($E$16)))</xm:f>
            <x14:dxf>
              <fill>
                <patternFill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4" id="{65AB0CFF-4D3F-4503-9642-867521F6C99B}">
            <xm:f>AND(ISERROR(MATCH(TRIM($E$17),'Ref Tables'!$H$2:$H$4,0)), NOT(ISBLANK($E$17)))</xm:f>
            <x14:dxf>
              <fill>
                <patternFill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5" id="{B730963A-438E-42B7-8A48-E5F86C0A2026}">
            <xm:f>AND(ISERROR(MATCH(TRIM($E$18),'Ref Tables'!$H$2:$H$4,0)), NOT(ISBLANK($E$18)))</xm:f>
            <x14:dxf>
              <fill>
                <patternFill>
                  <bgColor rgb="FFFF0000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6" id="{A5EA88A2-68D7-421D-B6BA-731923AE117C}">
            <xm:f>AND(ISERROR(MATCH(VALUE(TRIM($F$7)),'Ref Tables'!$J$2:$J$8,0)), NOT(ISBLANK($F$7)))</xm:f>
            <x14:dxf>
              <fill>
                <patternFill>
                  <bgColor rgb="FFFF0000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27" id="{CCC6B5A3-EC33-49A6-BEDA-29020B08A9DD}">
            <xm:f>AND(ISERROR(MATCH(VALUE(TRIM($F$8)),'Ref Tables'!$J$2:$J$8,0)), NOT(ISBLANK($F$8)))</xm:f>
            <x14:dxf>
              <fill>
                <patternFill>
                  <bgColor rgb="FFFF0000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28" id="{B6C99910-7028-4DA3-8D11-01E1A00C6411}">
            <xm:f>AND(ISERROR(MATCH(VALUE(TRIM($F$9)),'Ref Tables'!$J$2:$J$8,0)), NOT(ISBLANK($F$9)))</xm:f>
            <x14:dxf>
              <fill>
                <patternFill>
                  <bgColor rgb="FFFF0000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29" id="{37A9425C-1CE6-4CCF-8922-0A8C2E4EE887}">
            <xm:f>AND(ISERROR(MATCH(VALUE(TRIM($F$10)),'Ref Tables'!$J$2:$J$8,0)), NOT(ISBLANK($F$10)))</xm:f>
            <x14:dxf>
              <fill>
                <patternFill>
                  <bgColor rgb="FFFF0000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30" id="{5762C8A2-CCEC-4A97-8F7A-469DAF61426B}">
            <xm:f>AND(ISERROR(MATCH(VALUE(TRIM($F$11)),'Ref Tables'!$J$2:$J$8,0)), NOT(ISBLANK($F$11)))</xm:f>
            <x14:dxf>
              <fill>
                <patternFill>
                  <bgColor rgb="FFFF0000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31" id="{EFAF045F-68A2-4499-9513-CD98C3C945F2}">
            <xm:f>AND(ISERROR(MATCH(VALUE(TRIM($F$12)),'Ref Tables'!$J$2:$J$8,0)), NOT(ISBLANK($F$12)))</xm:f>
            <x14:dxf>
              <fill>
                <patternFill>
                  <bgColor rgb="FFFF000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32" id="{37ADB281-C16F-414E-8840-428B80172940}">
            <xm:f>AND(ISERROR(MATCH(VALUE(TRIM($F$13)),'Ref Tables'!$J$2:$J$8,0)), NOT(ISBLANK($F$13)))</xm:f>
            <x14:dxf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33" id="{C82F5426-9DF2-429E-8E43-190A76B60FCE}">
            <xm:f>AND(ISERROR(MATCH(VALUE(TRIM($F$14)),'Ref Tables'!$J$2:$J$8,0)), NOT(ISBLANK($F$14)))</xm:f>
            <x14:dxf>
              <fill>
                <patternFill>
                  <bgColor rgb="FFFF0000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34" id="{8731BAFB-8D7D-4073-B0A2-C20A2A10C981}">
            <xm:f>AND(ISERROR(MATCH(VALUE(TRIM($F$15)),'Ref Tables'!$J$2:$J$8,0)), NOT(ISBLANK($F$15)))</xm:f>
            <x14:dxf>
              <fill>
                <patternFill>
                  <bgColor rgb="FFFF0000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35" id="{2FBE2CD5-2AA8-4266-B1DF-0FFADE259186}">
            <xm:f>AND(ISERROR(MATCH(VALUE(TRIM($F$16)),'Ref Tables'!$J$2:$J$8,0)), NOT(ISBLANK($F$16)))</xm:f>
            <x14:dxf>
              <fill>
                <patternFill>
                  <bgColor rgb="FFFF0000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36" id="{0850B96A-F6BC-451E-96AB-E264F8689223}">
            <xm:f>AND(ISERROR(MATCH(VALUE(TRIM($F$17)),'Ref Tables'!$J$2:$J$8,0)), NOT(ISBLANK($F$17)))</xm:f>
            <x14:dxf>
              <fill>
                <patternFill>
                  <bgColor rgb="FFFF0000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37" id="{6C4EAE73-ED2E-4FE9-A1F8-9704C7B0E48E}">
            <xm:f>AND(ISERROR(MATCH(VALUE(TRIM($F$18)),'Ref Tables'!$J$2:$J$8,0)), NOT(ISBLANK($F$18)))</xm:f>
            <x14:dxf>
              <fill>
                <patternFill>
                  <bgColor rgb="FFFF0000"/>
                </patternFill>
              </fill>
            </x14:dxf>
          </x14:cfRule>
          <xm:sqref>F18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21C41-99C5-416F-84F7-4A887575D4F5}">
  <sheetPr codeName="Sheet3"/>
  <dimension ref="A1:K18"/>
  <sheetViews>
    <sheetView workbookViewId="0">
      <selection activeCell="K11" sqref="K11"/>
    </sheetView>
  </sheetViews>
  <sheetFormatPr defaultRowHeight="15" x14ac:dyDescent="0.25"/>
  <cols>
    <col min="1" max="1" width="8.7109375" bestFit="1" customWidth="1"/>
    <col min="2" max="2" width="9.28515625" bestFit="1" customWidth="1"/>
    <col min="3" max="3" width="12.7109375" bestFit="1" customWidth="1"/>
    <col min="4" max="4" width="11" bestFit="1" customWidth="1"/>
    <col min="5" max="5" width="10" bestFit="1" customWidth="1"/>
    <col min="6" max="6" width="8.7109375" bestFit="1" customWidth="1"/>
    <col min="7" max="7" width="12.85546875" bestFit="1" customWidth="1"/>
    <col min="8" max="8" width="10" bestFit="1" customWidth="1"/>
    <col min="9" max="9" width="8.5703125" bestFit="1" customWidth="1"/>
    <col min="10" max="10" width="7.140625" bestFit="1" customWidth="1"/>
    <col min="11" max="11" width="6" bestFit="1" customWidth="1"/>
  </cols>
  <sheetData>
    <row r="1" spans="1:11" s="7" customFormat="1" ht="15.75" thickBot="1" x14ac:dyDescent="0.3">
      <c r="A1" s="1" t="s">
        <v>59</v>
      </c>
      <c r="B1" s="8" t="s">
        <v>121</v>
      </c>
      <c r="C1"/>
      <c r="D1"/>
      <c r="E1"/>
      <c r="F1"/>
      <c r="G1"/>
      <c r="H1"/>
    </row>
    <row r="2" spans="1:11" s="7" customFormat="1" ht="15.75" thickBot="1" x14ac:dyDescent="0.3">
      <c r="A2" s="1" t="s">
        <v>58</v>
      </c>
      <c r="B2" s="9" t="s">
        <v>13</v>
      </c>
      <c r="C2"/>
      <c r="D2"/>
      <c r="E2"/>
      <c r="F2"/>
      <c r="G2"/>
      <c r="H2"/>
    </row>
    <row r="3" spans="1:11" s="7" customFormat="1" ht="15.75" thickBot="1" x14ac:dyDescent="0.3">
      <c r="A3" s="1" t="s">
        <v>60</v>
      </c>
      <c r="B3" s="10">
        <v>44927</v>
      </c>
      <c r="C3"/>
      <c r="D3"/>
      <c r="E3"/>
      <c r="F3"/>
      <c r="G3"/>
      <c r="H3"/>
    </row>
    <row r="4" spans="1:11" s="7" customFormat="1" x14ac:dyDescent="0.25">
      <c r="A4"/>
      <c r="B4"/>
      <c r="C4"/>
      <c r="D4"/>
      <c r="E4"/>
      <c r="F4"/>
      <c r="G4"/>
      <c r="H4"/>
    </row>
    <row r="5" spans="1:11" s="7" customFormat="1" x14ac:dyDescent="0.25">
      <c r="A5"/>
      <c r="B5"/>
      <c r="C5"/>
      <c r="D5"/>
      <c r="E5"/>
      <c r="F5"/>
      <c r="G5"/>
      <c r="H5"/>
    </row>
    <row r="6" spans="1:11" x14ac:dyDescent="0.25">
      <c r="A6" s="7" t="s">
        <v>57</v>
      </c>
      <c r="B6" s="7" t="s">
        <v>64</v>
      </c>
      <c r="C6" s="7" t="s">
        <v>65</v>
      </c>
      <c r="D6" s="7" t="s">
        <v>3</v>
      </c>
      <c r="E6" s="7" t="s">
        <v>4</v>
      </c>
      <c r="F6" s="7" t="s">
        <v>5</v>
      </c>
      <c r="G6" s="7" t="s">
        <v>66</v>
      </c>
      <c r="H6" s="7" t="s">
        <v>67</v>
      </c>
      <c r="I6" s="7" t="s">
        <v>106</v>
      </c>
      <c r="J6" s="7" t="s">
        <v>134</v>
      </c>
      <c r="K6" s="7" t="s">
        <v>135</v>
      </c>
    </row>
    <row r="7" spans="1:11" ht="16.5" x14ac:dyDescent="0.25">
      <c r="A7" s="11"/>
      <c r="B7" s="7" t="s">
        <v>68</v>
      </c>
      <c r="C7" s="7" t="s">
        <v>69</v>
      </c>
      <c r="D7" s="7" t="s">
        <v>9</v>
      </c>
      <c r="E7" s="7" t="s">
        <v>10</v>
      </c>
      <c r="F7" s="7">
        <v>6</v>
      </c>
      <c r="G7" s="7" t="s">
        <v>92</v>
      </c>
      <c r="H7" s="7" t="s">
        <v>93</v>
      </c>
      <c r="I7" s="7"/>
      <c r="J7" s="7">
        <v>1</v>
      </c>
      <c r="K7" s="7" t="s">
        <v>136</v>
      </c>
    </row>
    <row r="8" spans="1:11" ht="16.5" x14ac:dyDescent="0.25">
      <c r="A8" s="11"/>
      <c r="B8" s="7" t="s">
        <v>70</v>
      </c>
      <c r="C8" s="7" t="s">
        <v>71</v>
      </c>
      <c r="D8" s="7" t="s">
        <v>18</v>
      </c>
      <c r="E8" s="7" t="s">
        <v>10</v>
      </c>
      <c r="F8" s="7">
        <v>7</v>
      </c>
      <c r="G8" s="7" t="s">
        <v>92</v>
      </c>
      <c r="H8" s="7" t="s">
        <v>93</v>
      </c>
      <c r="I8" s="7"/>
      <c r="J8" s="7">
        <v>3</v>
      </c>
      <c r="K8" s="7" t="s">
        <v>136</v>
      </c>
    </row>
    <row r="9" spans="1:11" ht="16.5" x14ac:dyDescent="0.25">
      <c r="A9" s="11"/>
      <c r="B9" s="7" t="s">
        <v>72</v>
      </c>
      <c r="C9" s="7" t="s">
        <v>73</v>
      </c>
      <c r="D9" s="7" t="s">
        <v>18</v>
      </c>
      <c r="E9" s="7" t="s">
        <v>10</v>
      </c>
      <c r="F9" s="7">
        <v>7</v>
      </c>
      <c r="G9" s="7" t="s">
        <v>92</v>
      </c>
      <c r="H9" s="7" t="s">
        <v>93</v>
      </c>
      <c r="I9" s="7"/>
      <c r="J9" s="7">
        <v>3</v>
      </c>
      <c r="K9" s="7" t="s">
        <v>136</v>
      </c>
    </row>
    <row r="10" spans="1:11" ht="16.5" x14ac:dyDescent="0.25">
      <c r="A10" s="11"/>
      <c r="B10" s="7" t="s">
        <v>74</v>
      </c>
      <c r="C10" s="7" t="s">
        <v>75</v>
      </c>
      <c r="D10" s="7" t="s">
        <v>22</v>
      </c>
      <c r="E10" s="7" t="s">
        <v>10</v>
      </c>
      <c r="F10" s="7">
        <v>8</v>
      </c>
      <c r="G10" s="7" t="s">
        <v>92</v>
      </c>
      <c r="H10" s="7" t="s">
        <v>93</v>
      </c>
      <c r="I10" s="7"/>
      <c r="J10" s="7">
        <v>4</v>
      </c>
      <c r="K10" s="7" t="s">
        <v>136</v>
      </c>
    </row>
    <row r="11" spans="1:11" ht="16.5" x14ac:dyDescent="0.25">
      <c r="A11" s="11"/>
      <c r="B11" s="7" t="s">
        <v>76</v>
      </c>
      <c r="C11" s="7" t="s">
        <v>77</v>
      </c>
      <c r="D11" s="7" t="s">
        <v>22</v>
      </c>
      <c r="E11" s="7" t="s">
        <v>15</v>
      </c>
      <c r="F11" s="7">
        <v>8</v>
      </c>
      <c r="G11" s="7" t="s">
        <v>94</v>
      </c>
      <c r="H11" s="7" t="s">
        <v>84</v>
      </c>
      <c r="I11" s="7"/>
      <c r="J11" s="7">
        <v>3</v>
      </c>
      <c r="K11" s="7" t="s">
        <v>136</v>
      </c>
    </row>
    <row r="12" spans="1:11" ht="16.5" x14ac:dyDescent="0.25">
      <c r="A12" s="11"/>
      <c r="B12" s="7" t="s">
        <v>78</v>
      </c>
      <c r="C12" s="7" t="s">
        <v>79</v>
      </c>
      <c r="D12" s="7" t="s">
        <v>22</v>
      </c>
      <c r="E12" s="7" t="s">
        <v>15</v>
      </c>
      <c r="F12" s="7">
        <v>8</v>
      </c>
      <c r="G12" s="7" t="s">
        <v>95</v>
      </c>
      <c r="H12" s="7" t="s">
        <v>96</v>
      </c>
      <c r="I12" s="7"/>
      <c r="J12" s="7">
        <v>4</v>
      </c>
      <c r="K12" s="7" t="s">
        <v>136</v>
      </c>
    </row>
    <row r="13" spans="1:11" ht="16.5" x14ac:dyDescent="0.25">
      <c r="A13" s="11"/>
      <c r="B13" s="7" t="s">
        <v>80</v>
      </c>
      <c r="C13" s="7" t="s">
        <v>81</v>
      </c>
      <c r="D13" s="7" t="s">
        <v>14</v>
      </c>
      <c r="E13" s="7" t="s">
        <v>15</v>
      </c>
      <c r="F13" s="7">
        <v>9</v>
      </c>
      <c r="G13" s="7" t="s">
        <v>97</v>
      </c>
      <c r="H13" s="7" t="s">
        <v>93</v>
      </c>
      <c r="I13" s="7"/>
      <c r="J13" s="7">
        <v>1</v>
      </c>
      <c r="K13" s="7" t="s">
        <v>136</v>
      </c>
    </row>
    <row r="14" spans="1:11" ht="16.5" x14ac:dyDescent="0.25">
      <c r="A14" s="11"/>
      <c r="B14" s="7" t="s">
        <v>82</v>
      </c>
      <c r="C14" s="7" t="s">
        <v>83</v>
      </c>
      <c r="D14" s="7" t="s">
        <v>25</v>
      </c>
      <c r="E14" s="7" t="s">
        <v>15</v>
      </c>
      <c r="F14" s="7">
        <v>9</v>
      </c>
      <c r="G14" s="7" t="s">
        <v>98</v>
      </c>
      <c r="H14" s="7" t="s">
        <v>84</v>
      </c>
      <c r="I14" s="7"/>
      <c r="J14" s="7">
        <v>0</v>
      </c>
      <c r="K14" s="7" t="s">
        <v>136</v>
      </c>
    </row>
    <row r="15" spans="1:11" ht="16.5" x14ac:dyDescent="0.25">
      <c r="A15" s="11"/>
      <c r="B15" s="7" t="s">
        <v>85</v>
      </c>
      <c r="C15" s="7" t="s">
        <v>86</v>
      </c>
      <c r="D15" s="7" t="s">
        <v>25</v>
      </c>
      <c r="E15" s="7" t="s">
        <v>15</v>
      </c>
      <c r="F15" s="7">
        <v>10</v>
      </c>
      <c r="G15" s="7" t="s">
        <v>99</v>
      </c>
      <c r="H15" s="7" t="s">
        <v>100</v>
      </c>
      <c r="I15" s="7"/>
      <c r="J15" s="7">
        <v>0</v>
      </c>
      <c r="K15" s="7" t="s">
        <v>136</v>
      </c>
    </row>
    <row r="16" spans="1:11" ht="16.5" x14ac:dyDescent="0.25">
      <c r="A16" s="11"/>
      <c r="B16" s="7" t="s">
        <v>87</v>
      </c>
      <c r="C16" s="7" t="s">
        <v>9</v>
      </c>
      <c r="D16" s="7" t="s">
        <v>28</v>
      </c>
      <c r="E16" s="7" t="s">
        <v>19</v>
      </c>
      <c r="F16" s="7">
        <v>11</v>
      </c>
      <c r="G16" s="7" t="s">
        <v>101</v>
      </c>
      <c r="H16" s="7" t="s">
        <v>96</v>
      </c>
      <c r="I16" s="7"/>
      <c r="J16" s="7">
        <v>4</v>
      </c>
      <c r="K16" s="7" t="s">
        <v>137</v>
      </c>
    </row>
    <row r="17" spans="1:11" ht="16.5" x14ac:dyDescent="0.25">
      <c r="A17" s="11"/>
      <c r="B17" s="7" t="s">
        <v>88</v>
      </c>
      <c r="C17" s="7" t="s">
        <v>89</v>
      </c>
      <c r="D17" s="7" t="s">
        <v>31</v>
      </c>
      <c r="E17" s="7"/>
      <c r="F17" s="7">
        <v>12</v>
      </c>
      <c r="G17" s="7" t="s">
        <v>102</v>
      </c>
      <c r="H17" s="7" t="s">
        <v>103</v>
      </c>
      <c r="I17" s="7"/>
      <c r="J17" s="7">
        <v>1</v>
      </c>
      <c r="K17" s="7" t="s">
        <v>137</v>
      </c>
    </row>
    <row r="18" spans="1:11" ht="16.5" x14ac:dyDescent="0.25">
      <c r="A18" s="11"/>
      <c r="B18" s="7" t="s">
        <v>90</v>
      </c>
      <c r="C18" s="7" t="s">
        <v>91</v>
      </c>
      <c r="D18" s="7"/>
      <c r="E18" s="7"/>
      <c r="F18" s="7"/>
      <c r="G18" s="7" t="s">
        <v>92</v>
      </c>
      <c r="H18" s="7" t="s">
        <v>93</v>
      </c>
      <c r="I18" s="7"/>
      <c r="J18" s="7">
        <v>1</v>
      </c>
      <c r="K18" s="7" t="s">
        <v>137</v>
      </c>
    </row>
  </sheetData>
  <sheetProtection sheet="1" objects="1" scenarios="1" selectLockedCells="1" sort="0" autoFilter="0"/>
  <conditionalFormatting sqref="B7:K18">
    <cfRule type="containsBlanks" dxfId="36" priority="1">
      <formula>LEN(TRIM(B7))=0</formula>
    </cfRule>
  </conditionalFormatting>
  <dataValidations count="1">
    <dataValidation type="date" operator="greaterThan" allowBlank="1" showInputMessage="1" showErrorMessage="1" error="Please enter a date in the form:_x000a_mm/dd/yyyy" sqref="B3" xr:uid="{A891D1CE-A67E-49F9-B141-7AF2AC4EE4F5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240" r:id="rId4" name="Button 1224">
              <controlPr defaultSize="0" print="0" autoFill="0" autoPict="0" macro="[0]!PullRoste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5" name="Button 1225">
              <controlPr defaultSize="0" print="0" autoFill="0" autoPict="0" macro="[0]!AddSelected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6" name="Button 1226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7" name="Button 1227">
              <controlPr defaultSize="0" print="0" autoFill="0" autoPict="0" macro="[0]!CompileActivities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8" name="Button 1228">
              <controlPr defaultSize="0" print="0" autoFill="0" autoPict="0" macro="[0]!AddSheet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9" name="Button 123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51F13DF-D00F-4384-BBD9-88DBAAB1E1D2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101DDC04-5A93-476D-828A-E71113D9D9A3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AE8E90D7-855C-4B47-84B4-239FB8E75DCE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32D8CBF6-6681-407A-9B64-11D86AACB426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B78C048B-B7FC-47C6-90C7-32C11DB398DC}">
            <xm:f>AND(ISERROR(MATCH(TRIM($D$11),'Ref Tables'!$F$2:$F$9,0)), NOT(ISBLANK($D$11)))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7" id="{B048C71D-9CFC-4BBE-8EC7-E596A24F057E}">
            <xm:f>AND(ISERROR(MATCH(TRIM($D$12),'Ref Tables'!$F$2:$F$9,0)), NOT(ISBLANK($D$12)))</xm:f>
            <x14:dxf>
              <fill>
                <patternFill>
                  <bgColor rgb="FFFF0000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8" id="{ACABF7F5-4D6D-47CB-AB54-E92A51EEB543}">
            <xm:f>AND(ISERROR(MATCH(TRIM($D$13),'Ref Tables'!$F$2:$F$9,0)), NOT(ISBLANK($D$13)))</xm:f>
            <x14:dxf>
              <fill>
                <patternFill>
                  <bgColor rgb="FFFF0000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9" id="{F5064A05-E28D-4CAF-ACF5-3AF3F032B0C1}">
            <xm:f>AND(ISERROR(MATCH(TRIM($D$14),'Ref Tables'!$F$2:$F$9,0)), NOT(ISBLANK($D$14)))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0" id="{612BD944-0372-4D20-8919-56E5B74B436A}">
            <xm:f>AND(ISERROR(MATCH(TRIM($D$15),'Ref Tables'!$F$2:$F$9,0)), NOT(ISBLANK($D$15)))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1" id="{782DEEAC-9E80-4BB0-8483-DD2DC9B3D3A4}">
            <xm:f>AND(ISERROR(MATCH(TRIM($D$16),'Ref Tables'!$F$2:$F$9,0)), NOT(ISBLANK($D$16)))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64BAB17-8015-41F8-8F12-C4254D8BD5DE}">
            <xm:f>AND(ISERROR(MATCH(TRIM($D$17),'Ref Tables'!$F$2:$F$9,0)), NOT(ISBLANK($D$17)))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3" id="{C8E042B6-A338-408D-A842-B00DB77A5174}">
            <xm:f>AND(ISERROR(MATCH(TRIM($D$18),'Ref Tables'!$F$2:$F$9,0)), NOT(ISBLANK($D$18)))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4" id="{96A4CD2F-50DF-46CD-9EF2-D97EF957349B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5" id="{68492978-0B88-49CB-9413-EB29A04000B6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6" id="{83251FCA-8E8C-4C10-BD67-C37BC4B77419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7" id="{613BF210-4CBF-4D7D-A65A-0D4032CFF553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8" id="{58F83519-7EB2-41AE-81D5-95B2AB9AA591}">
            <xm:f>AND(ISERROR(MATCH(TRIM($E$11),'Ref Tables'!$H$2:$H$4,0)), NOT(ISBLANK($E$11)))</xm:f>
            <x14:dxf>
              <fill>
                <patternFill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19" id="{A89216BA-F607-4F40-AEE7-B01F6456FB1F}">
            <xm:f>AND(ISERROR(MATCH(TRIM($E$12),'Ref Tables'!$H$2:$H$4,0)), NOT(ISBLANK($E$12)))</xm:f>
            <x14:dxf>
              <fill>
                <patternFill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0" id="{8D29B5E3-035A-4FDD-BF21-9E7471D30474}">
            <xm:f>AND(ISERROR(MATCH(TRIM($E$13),'Ref Tables'!$H$2:$H$4,0)), NOT(ISBLANK($E$13)))</xm:f>
            <x14:dxf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1" id="{67491E6C-82BD-4CCD-8F27-F6E6D2B480BF}">
            <xm:f>AND(ISERROR(MATCH(TRIM($E$14),'Ref Tables'!$H$2:$H$4,0)), NOT(ISBLANK($E$14)))</xm:f>
            <x14:dxf>
              <fill>
                <patternFill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" id="{080A5B0D-FD60-4D06-B83A-29786044788B}">
            <xm:f>AND(ISERROR(MATCH(TRIM($E$15),'Ref Tables'!$H$2:$H$4,0)), NOT(ISBLANK($E$15)))</xm:f>
            <x14:dxf>
              <fill>
                <patternFill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3" id="{06F0EACA-4204-44B7-9ED5-3CBF7F97D0B1}">
            <xm:f>AND(ISERROR(MATCH(TRIM($E$16),'Ref Tables'!$H$2:$H$4,0)), NOT(ISBLANK($E$16)))</xm:f>
            <x14:dxf>
              <fill>
                <patternFill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4" id="{24B8D417-84EE-41A9-AAC4-F24ECC212F19}">
            <xm:f>AND(ISERROR(MATCH(TRIM($E$17),'Ref Tables'!$H$2:$H$4,0)), NOT(ISBLANK($E$17)))</xm:f>
            <x14:dxf>
              <fill>
                <patternFill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5" id="{CC218A98-BBFE-4A65-AB7B-143124B82017}">
            <xm:f>AND(ISERROR(MATCH(TRIM($E$18),'Ref Tables'!$H$2:$H$4,0)), NOT(ISBLANK($E$18)))</xm:f>
            <x14:dxf>
              <fill>
                <patternFill>
                  <bgColor rgb="FFFF0000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6" id="{FFBD488C-ED74-4C5F-95D0-90C0B0D1E588}">
            <xm:f>AND(ISERROR(MATCH(VALUE(TRIM($F$7)),'Ref Tables'!$J$2:$J$8,0)), NOT(ISBLANK($F$7)))</xm:f>
            <x14:dxf>
              <fill>
                <patternFill>
                  <bgColor rgb="FFFF0000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27" id="{E221216D-98A0-43F6-8541-6DFFF615433C}">
            <xm:f>AND(ISERROR(MATCH(VALUE(TRIM($F$8)),'Ref Tables'!$J$2:$J$8,0)), NOT(ISBLANK($F$8)))</xm:f>
            <x14:dxf>
              <fill>
                <patternFill>
                  <bgColor rgb="FFFF0000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28" id="{9A420C34-3E71-4222-806E-BECFD45C8E60}">
            <xm:f>AND(ISERROR(MATCH(VALUE(TRIM($F$9)),'Ref Tables'!$J$2:$J$8,0)), NOT(ISBLANK($F$9)))</xm:f>
            <x14:dxf>
              <fill>
                <patternFill>
                  <bgColor rgb="FFFF0000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29" id="{F954910A-4189-4906-A6DC-7282E87FA661}">
            <xm:f>AND(ISERROR(MATCH(VALUE(TRIM($F$10)),'Ref Tables'!$J$2:$J$8,0)), NOT(ISBLANK($F$10)))</xm:f>
            <x14:dxf>
              <fill>
                <patternFill>
                  <bgColor rgb="FFFF0000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30" id="{37E1F8BC-4B39-49FB-8AAE-D3270FEC1896}">
            <xm:f>AND(ISERROR(MATCH(VALUE(TRIM($F$11)),'Ref Tables'!$J$2:$J$8,0)), NOT(ISBLANK($F$11)))</xm:f>
            <x14:dxf>
              <fill>
                <patternFill>
                  <bgColor rgb="FFFF0000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31" id="{D1B6E7E5-499D-4C23-8626-E37023EFBBFE}">
            <xm:f>AND(ISERROR(MATCH(VALUE(TRIM($F$12)),'Ref Tables'!$J$2:$J$8,0)), NOT(ISBLANK($F$12)))</xm:f>
            <x14:dxf>
              <fill>
                <patternFill>
                  <bgColor rgb="FFFF000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32" id="{84EEC264-0BA0-411A-90B7-CCF5B56EA29C}">
            <xm:f>AND(ISERROR(MATCH(VALUE(TRIM($F$13)),'Ref Tables'!$J$2:$J$8,0)), NOT(ISBLANK($F$13)))</xm:f>
            <x14:dxf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33" id="{EB644892-2FF8-4206-8C61-41E686C60691}">
            <xm:f>AND(ISERROR(MATCH(VALUE(TRIM($F$14)),'Ref Tables'!$J$2:$J$8,0)), NOT(ISBLANK($F$14)))</xm:f>
            <x14:dxf>
              <fill>
                <patternFill>
                  <bgColor rgb="FFFF0000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34" id="{13DA0D8E-A4F0-4AE3-BB9C-0E212F84BA06}">
            <xm:f>AND(ISERROR(MATCH(VALUE(TRIM($F$15)),'Ref Tables'!$J$2:$J$8,0)), NOT(ISBLANK($F$15)))</xm:f>
            <x14:dxf>
              <fill>
                <patternFill>
                  <bgColor rgb="FFFF0000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35" id="{5FD592B1-5EAC-483D-8A19-B764B1128588}">
            <xm:f>AND(ISERROR(MATCH(VALUE(TRIM($F$16)),'Ref Tables'!$J$2:$J$8,0)), NOT(ISBLANK($F$16)))</xm:f>
            <x14:dxf>
              <fill>
                <patternFill>
                  <bgColor rgb="FFFF0000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36" id="{C3EA5A17-F079-48A9-9E17-BB17A66AF768}">
            <xm:f>AND(ISERROR(MATCH(VALUE(TRIM($F$17)),'Ref Tables'!$J$2:$J$8,0)), NOT(ISBLANK($F$17)))</xm:f>
            <x14:dxf>
              <fill>
                <patternFill>
                  <bgColor rgb="FFFF0000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37" id="{2FDCCE13-29B1-4734-8178-A8392531F99A}">
            <xm:f>AND(ISERROR(MATCH(VALUE(TRIM($F$18)),'Ref Tables'!$J$2:$J$8,0)), NOT(ISBLANK($F$18)))</xm:f>
            <x14:dxf>
              <fill>
                <patternFill>
                  <bgColor rgb="FFFF0000"/>
                </patternFill>
              </fill>
            </x14:dxf>
          </x14:cfRule>
          <xm:sqref>F18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="Please select from the dropdown menu." xr:uid="{A462EC56-A395-47D7-ABE3-72BE6C1B4DFC}">
          <x14:formula1>
            <xm:f>'Ref Tables'!$D$2:$D$7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9273F-673F-485C-9C0F-E317DF3971B9}">
  <sheetPr codeName="Sheet5"/>
  <dimension ref="A1:I10"/>
  <sheetViews>
    <sheetView workbookViewId="0">
      <selection activeCell="F1" sqref="F1"/>
    </sheetView>
  </sheetViews>
  <sheetFormatPr defaultRowHeight="15" x14ac:dyDescent="0.25"/>
  <cols>
    <col min="1" max="1" width="8.7109375" style="17" bestFit="1" customWidth="1"/>
    <col min="2" max="2" width="9.28515625" style="17" bestFit="1" customWidth="1"/>
    <col min="3" max="3" width="11.28515625" style="17" bestFit="1" customWidth="1"/>
    <col min="4" max="4" width="11" style="17" bestFit="1" customWidth="1"/>
    <col min="5" max="5" width="10" style="17" bestFit="1" customWidth="1"/>
    <col min="6" max="6" width="40.7109375" style="17" customWidth="1"/>
    <col min="7" max="7" width="9.28515625" style="17" bestFit="1" customWidth="1"/>
    <col min="8" max="8" width="9.5703125" style="17" bestFit="1" customWidth="1"/>
    <col min="9" max="9" width="8.5703125" style="17" bestFit="1" customWidth="1"/>
    <col min="10" max="16384" width="9.140625" style="17"/>
  </cols>
  <sheetData>
    <row r="1" spans="1:9" ht="15.75" thickBot="1" x14ac:dyDescent="0.3">
      <c r="A1" s="1" t="s">
        <v>59</v>
      </c>
      <c r="B1" s="18" t="s">
        <v>121</v>
      </c>
      <c r="E1" s="1" t="s">
        <v>1</v>
      </c>
      <c r="F1" s="17" t="s">
        <v>46</v>
      </c>
    </row>
    <row r="2" spans="1:9" ht="16.5" thickTop="1" thickBot="1" x14ac:dyDescent="0.3">
      <c r="A2" s="1" t="s">
        <v>58</v>
      </c>
      <c r="B2" s="19" t="s">
        <v>13</v>
      </c>
      <c r="E2" s="1" t="s">
        <v>120</v>
      </c>
      <c r="F2" s="17" t="s">
        <v>42</v>
      </c>
    </row>
    <row r="3" spans="1:9" ht="16.5" thickTop="1" thickBot="1" x14ac:dyDescent="0.3">
      <c r="A3" s="1" t="s">
        <v>60</v>
      </c>
      <c r="B3" s="13">
        <v>45317</v>
      </c>
      <c r="E3" s="1" t="s">
        <v>61</v>
      </c>
      <c r="F3" s="17" t="s">
        <v>124</v>
      </c>
    </row>
    <row r="4" spans="1:9" ht="15.75" thickTop="1" x14ac:dyDescent="0.25"/>
    <row r="6" spans="1:9" x14ac:dyDescent="0.25">
      <c r="A6" s="17" t="s">
        <v>57</v>
      </c>
      <c r="B6" s="17" t="s">
        <v>64</v>
      </c>
      <c r="C6" s="17" t="s">
        <v>65</v>
      </c>
      <c r="D6" s="17" t="s">
        <v>3</v>
      </c>
      <c r="E6" s="17" t="s">
        <v>4</v>
      </c>
      <c r="F6" s="17" t="s">
        <v>5</v>
      </c>
      <c r="G6" s="17" t="s">
        <v>66</v>
      </c>
      <c r="H6" s="17" t="s">
        <v>67</v>
      </c>
      <c r="I6" s="17" t="s">
        <v>106</v>
      </c>
    </row>
    <row r="7" spans="1:9" ht="16.5" x14ac:dyDescent="0.25">
      <c r="A7" s="20" t="s">
        <v>119</v>
      </c>
      <c r="B7" s="17" t="s">
        <v>68</v>
      </c>
      <c r="C7" s="17" t="s">
        <v>69</v>
      </c>
      <c r="D7" s="17" t="s">
        <v>9</v>
      </c>
      <c r="E7" s="17" t="s">
        <v>10</v>
      </c>
      <c r="F7" s="17">
        <v>6</v>
      </c>
      <c r="G7" s="17" t="s">
        <v>92</v>
      </c>
      <c r="H7" s="17" t="s">
        <v>93</v>
      </c>
    </row>
    <row r="8" spans="1:9" ht="16.5" x14ac:dyDescent="0.25">
      <c r="A8" s="20" t="s">
        <v>119</v>
      </c>
      <c r="B8" s="17" t="s">
        <v>70</v>
      </c>
      <c r="C8" s="17" t="s">
        <v>71</v>
      </c>
      <c r="D8" s="17" t="s">
        <v>18</v>
      </c>
      <c r="E8" s="17" t="s">
        <v>10</v>
      </c>
      <c r="F8" s="17">
        <v>7</v>
      </c>
      <c r="G8" s="17" t="s">
        <v>92</v>
      </c>
      <c r="H8" s="17" t="s">
        <v>93</v>
      </c>
    </row>
    <row r="9" spans="1:9" ht="16.5" x14ac:dyDescent="0.25">
      <c r="A9" s="20" t="s">
        <v>119</v>
      </c>
      <c r="B9" s="17" t="s">
        <v>72</v>
      </c>
      <c r="C9" s="17" t="s">
        <v>73</v>
      </c>
      <c r="D9" s="17" t="s">
        <v>18</v>
      </c>
      <c r="E9" s="17" t="s">
        <v>10</v>
      </c>
      <c r="F9" s="17">
        <v>7</v>
      </c>
      <c r="G9" s="17" t="s">
        <v>92</v>
      </c>
      <c r="H9" s="17" t="s">
        <v>93</v>
      </c>
    </row>
    <row r="10" spans="1:9" ht="16.5" x14ac:dyDescent="0.25">
      <c r="A10" s="20" t="s">
        <v>119</v>
      </c>
      <c r="B10" s="17" t="s">
        <v>74</v>
      </c>
      <c r="C10" s="17" t="s">
        <v>75</v>
      </c>
      <c r="D10" s="17" t="s">
        <v>22</v>
      </c>
      <c r="E10" s="17" t="s">
        <v>10</v>
      </c>
      <c r="F10" s="17">
        <v>8</v>
      </c>
      <c r="G10" s="17" t="s">
        <v>92</v>
      </c>
      <c r="H10" s="17" t="s">
        <v>93</v>
      </c>
    </row>
  </sheetData>
  <conditionalFormatting sqref="B7:I10">
    <cfRule type="containsBlanks" dxfId="415" priority="1">
      <formula>LEN(TRIM(B7))=0</formula>
    </cfRule>
  </conditionalFormatting>
  <dataValidations count="2">
    <dataValidation type="date" operator="lessThanOrEqual" allowBlank="1" showInputMessage="1" showErrorMessage="1" errorTitle="Error" error="Please enter in a valid date" sqref="B3" xr:uid="{5195C1B6-14C4-41C0-8F91-87F85A0775CC}">
      <formula1>45317</formula1>
    </dataValidation>
    <dataValidation type="list" allowBlank="1" showInputMessage="1" showErrorMessage="1" errorTitle="Error" error="Please choose from the drop-down list" sqref="F1" xr:uid="{064F4263-AFE6-4350-917D-7FC70348CE2F}">
      <formula1>ActivitiesList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3" name="Button 1">
              <controlPr defaultSize="0" print="0" autoFill="0" autoPict="0" macro="[0]!TabulateCaller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RemoveShee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5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6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C0FBFC76-ED61-4C38-868E-068BB9E9128D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037303B0-497C-4184-9CB6-44A01FB78239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5E8AAA67-1734-41F5-B150-4569B284A2C5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B794A362-CCF0-402C-A72C-89F548FB4681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AB67B31C-6A3D-4309-996F-B1C0589EF041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7" id="{E32C9CDE-8DAF-42F9-B005-D125AE2682EA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8" id="{0B5DD21E-3BE4-4A0E-9541-90A724AC1C73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2C33083C-4D35-49CD-85E0-57C22BEA7BA3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0" id="{1341755D-4637-4A5D-A186-B9E99F0A5829}">
            <xm:f>AND(ISERROR(MATCH(VALUE(TRIM($F$7)),'Ref Tables'!$J$2:$J$8,0)), NOT(ISBLANK($F$7)))</xm:f>
            <x14:dxf>
              <fill>
                <patternFill>
                  <bgColor rgb="FFFF0000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11" id="{AC8E04AA-8162-4098-9694-6D7ADBD90EB5}">
            <xm:f>AND(ISERROR(MATCH(VALUE(TRIM($F$8)),'Ref Tables'!$J$2:$J$8,0)), NOT(ISBLANK($F$8)))</xm:f>
            <x14:dxf>
              <fill>
                <patternFill>
                  <bgColor rgb="FFFF0000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12" id="{7FBC5EBE-6EC8-4DC0-A15B-A98FED6F3162}">
            <xm:f>AND(ISERROR(MATCH(VALUE(TRIM($F$9)),'Ref Tables'!$J$2:$J$8,0)), NOT(ISBLANK($F$9)))</xm:f>
            <x14:dxf>
              <fill>
                <patternFill>
                  <bgColor rgb="FFFF0000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13" id="{13EAE98F-862F-4DDD-9634-CBFE687004A9}">
            <xm:f>AND(ISERROR(MATCH(VALUE(TRIM($F$10)),'Ref Tables'!$J$2:$J$8,0)), NOT(ISBLANK($F$10)))</xm:f>
            <x14:dxf>
              <fill>
                <patternFill>
                  <bgColor rgb="FFFF0000"/>
                </patternFill>
              </fill>
            </x14:dxf>
          </x14:cfRule>
          <xm:sqref>F10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EA270-D8E7-4AA9-A9BB-28D53446EFFE}">
  <sheetPr codeName="Sheet6"/>
  <dimension ref="A1:I18"/>
  <sheetViews>
    <sheetView workbookViewId="0">
      <selection activeCell="K16" sqref="K16"/>
    </sheetView>
  </sheetViews>
  <sheetFormatPr defaultRowHeight="15" x14ac:dyDescent="0.25"/>
  <cols>
    <col min="1" max="1" width="8.7109375" style="17" bestFit="1" customWidth="1"/>
    <col min="2" max="2" width="9.28515625" style="17" bestFit="1" customWidth="1"/>
    <col min="3" max="3" width="12.7109375" style="17" bestFit="1" customWidth="1"/>
    <col min="4" max="4" width="11" style="17" bestFit="1" customWidth="1"/>
    <col min="5" max="5" width="10" style="17" bestFit="1" customWidth="1"/>
    <col min="6" max="6" width="8.7109375" style="17" bestFit="1" customWidth="1"/>
    <col min="7" max="7" width="12.85546875" style="17" bestFit="1" customWidth="1"/>
    <col min="8" max="8" width="10" style="17" bestFit="1" customWidth="1"/>
    <col min="9" max="9" width="8.5703125" style="17" bestFit="1" customWidth="1"/>
    <col min="10" max="16384" width="9.140625" style="17"/>
  </cols>
  <sheetData>
    <row r="1" spans="1:9" ht="15.75" thickBot="1" x14ac:dyDescent="0.3">
      <c r="A1" s="1" t="s">
        <v>59</v>
      </c>
      <c r="B1" s="18" t="s">
        <v>121</v>
      </c>
      <c r="E1" s="1" t="s">
        <v>1</v>
      </c>
      <c r="F1" s="17" t="s">
        <v>46</v>
      </c>
    </row>
    <row r="2" spans="1:9" ht="16.5" thickTop="1" thickBot="1" x14ac:dyDescent="0.3">
      <c r="A2" s="1" t="s">
        <v>58</v>
      </c>
      <c r="B2" s="19" t="s">
        <v>13</v>
      </c>
      <c r="E2" s="1" t="s">
        <v>120</v>
      </c>
      <c r="F2" s="17" t="s">
        <v>42</v>
      </c>
    </row>
    <row r="3" spans="1:9" ht="16.5" thickTop="1" thickBot="1" x14ac:dyDescent="0.3">
      <c r="A3" s="1" t="s">
        <v>60</v>
      </c>
      <c r="B3" s="13">
        <v>45315</v>
      </c>
      <c r="E3" s="1" t="s">
        <v>61</v>
      </c>
      <c r="F3" s="17" t="s">
        <v>125</v>
      </c>
    </row>
    <row r="4" spans="1:9" ht="15.75" thickTop="1" x14ac:dyDescent="0.25"/>
    <row r="6" spans="1:9" x14ac:dyDescent="0.25">
      <c r="A6" s="17" t="s">
        <v>57</v>
      </c>
      <c r="B6" s="17" t="s">
        <v>64</v>
      </c>
      <c r="C6" s="17" t="s">
        <v>65</v>
      </c>
      <c r="D6" s="17" t="s">
        <v>3</v>
      </c>
      <c r="E6" s="17" t="s">
        <v>4</v>
      </c>
      <c r="F6" s="17" t="s">
        <v>5</v>
      </c>
      <c r="G6" s="17" t="s">
        <v>66</v>
      </c>
      <c r="H6" s="17" t="s">
        <v>67</v>
      </c>
      <c r="I6" s="17" t="s">
        <v>106</v>
      </c>
    </row>
    <row r="7" spans="1:9" ht="16.5" x14ac:dyDescent="0.25">
      <c r="A7" s="20"/>
      <c r="B7" s="17" t="s">
        <v>68</v>
      </c>
      <c r="C7" s="17" t="s">
        <v>69</v>
      </c>
      <c r="D7" s="17" t="s">
        <v>9</v>
      </c>
      <c r="E7" s="17" t="s">
        <v>10</v>
      </c>
      <c r="F7" s="17">
        <v>6</v>
      </c>
      <c r="G7" s="17" t="s">
        <v>92</v>
      </c>
      <c r="H7" s="17" t="s">
        <v>93</v>
      </c>
    </row>
    <row r="8" spans="1:9" ht="16.5" x14ac:dyDescent="0.25">
      <c r="A8" s="20"/>
      <c r="B8" s="17" t="s">
        <v>70</v>
      </c>
      <c r="C8" s="17" t="s">
        <v>71</v>
      </c>
      <c r="D8" s="17" t="s">
        <v>18</v>
      </c>
      <c r="E8" s="17" t="s">
        <v>10</v>
      </c>
      <c r="F8" s="17">
        <v>7</v>
      </c>
      <c r="G8" s="17" t="s">
        <v>92</v>
      </c>
      <c r="H8" s="17" t="s">
        <v>93</v>
      </c>
    </row>
    <row r="9" spans="1:9" ht="16.5" x14ac:dyDescent="0.25">
      <c r="A9" s="20"/>
      <c r="B9" s="17" t="s">
        <v>72</v>
      </c>
      <c r="C9" s="17" t="s">
        <v>73</v>
      </c>
      <c r="D9" s="17" t="s">
        <v>18</v>
      </c>
      <c r="E9" s="17" t="s">
        <v>10</v>
      </c>
      <c r="F9" s="17">
        <v>7</v>
      </c>
      <c r="G9" s="17" t="s">
        <v>92</v>
      </c>
      <c r="H9" s="17" t="s">
        <v>93</v>
      </c>
    </row>
    <row r="10" spans="1:9" ht="16.5" x14ac:dyDescent="0.25">
      <c r="A10" s="20"/>
      <c r="B10" s="17" t="s">
        <v>74</v>
      </c>
      <c r="C10" s="17" t="s">
        <v>75</v>
      </c>
      <c r="D10" s="17" t="s">
        <v>22</v>
      </c>
      <c r="E10" s="17" t="s">
        <v>10</v>
      </c>
      <c r="F10" s="17">
        <v>8</v>
      </c>
      <c r="G10" s="17" t="s">
        <v>92</v>
      </c>
      <c r="H10" s="17" t="s">
        <v>93</v>
      </c>
    </row>
    <row r="11" spans="1:9" ht="16.5" x14ac:dyDescent="0.25">
      <c r="A11" s="20"/>
      <c r="B11" s="17" t="s">
        <v>76</v>
      </c>
      <c r="C11" s="17" t="s">
        <v>77</v>
      </c>
      <c r="D11" s="17" t="s">
        <v>22</v>
      </c>
      <c r="E11" s="17" t="s">
        <v>15</v>
      </c>
      <c r="F11" s="17">
        <v>8</v>
      </c>
      <c r="G11" s="17" t="s">
        <v>94</v>
      </c>
      <c r="H11" s="17" t="s">
        <v>84</v>
      </c>
    </row>
    <row r="12" spans="1:9" ht="16.5" x14ac:dyDescent="0.25">
      <c r="A12" s="20"/>
      <c r="B12" s="17" t="s">
        <v>78</v>
      </c>
      <c r="C12" s="17" t="s">
        <v>79</v>
      </c>
      <c r="D12" s="17" t="s">
        <v>22</v>
      </c>
      <c r="E12" s="17" t="s">
        <v>15</v>
      </c>
      <c r="F12" s="17">
        <v>8</v>
      </c>
      <c r="G12" s="17" t="s">
        <v>95</v>
      </c>
      <c r="H12" s="17" t="s">
        <v>96</v>
      </c>
    </row>
    <row r="13" spans="1:9" ht="16.5" x14ac:dyDescent="0.25">
      <c r="A13" s="20"/>
      <c r="B13" s="17" t="s">
        <v>80</v>
      </c>
      <c r="C13" s="17" t="s">
        <v>81</v>
      </c>
      <c r="D13" s="17" t="s">
        <v>14</v>
      </c>
      <c r="E13" s="17" t="s">
        <v>15</v>
      </c>
      <c r="F13" s="17">
        <v>9</v>
      </c>
      <c r="G13" s="17" t="s">
        <v>97</v>
      </c>
      <c r="H13" s="17" t="s">
        <v>93</v>
      </c>
    </row>
    <row r="14" spans="1:9" ht="16.5" x14ac:dyDescent="0.25">
      <c r="A14" s="20"/>
      <c r="B14" s="17" t="s">
        <v>82</v>
      </c>
      <c r="C14" s="17" t="s">
        <v>83</v>
      </c>
      <c r="D14" s="17" t="s">
        <v>25</v>
      </c>
      <c r="E14" s="17" t="s">
        <v>15</v>
      </c>
      <c r="F14" s="17">
        <v>9</v>
      </c>
      <c r="G14" s="17" t="s">
        <v>98</v>
      </c>
      <c r="H14" s="17" t="s">
        <v>84</v>
      </c>
    </row>
    <row r="15" spans="1:9" ht="16.5" x14ac:dyDescent="0.25">
      <c r="A15" s="20" t="s">
        <v>119</v>
      </c>
      <c r="B15" s="17" t="s">
        <v>85</v>
      </c>
      <c r="C15" s="17" t="s">
        <v>86</v>
      </c>
      <c r="D15" s="17" t="s">
        <v>25</v>
      </c>
      <c r="E15" s="17" t="s">
        <v>15</v>
      </c>
      <c r="F15" s="17">
        <v>10</v>
      </c>
      <c r="G15" s="17" t="s">
        <v>99</v>
      </c>
      <c r="H15" s="17" t="s">
        <v>100</v>
      </c>
    </row>
    <row r="16" spans="1:9" ht="16.5" x14ac:dyDescent="0.25">
      <c r="A16" s="20" t="s">
        <v>119</v>
      </c>
      <c r="B16" s="17" t="s">
        <v>87</v>
      </c>
      <c r="C16" s="17" t="s">
        <v>9</v>
      </c>
      <c r="D16" s="17" t="s">
        <v>28</v>
      </c>
      <c r="E16" s="17" t="s">
        <v>19</v>
      </c>
      <c r="F16" s="17">
        <v>11</v>
      </c>
      <c r="G16" s="17" t="s">
        <v>101</v>
      </c>
      <c r="H16" s="17" t="s">
        <v>96</v>
      </c>
    </row>
    <row r="17" spans="1:8" ht="16.5" x14ac:dyDescent="0.25">
      <c r="A17" s="20" t="s">
        <v>119</v>
      </c>
      <c r="B17" s="17" t="s">
        <v>88</v>
      </c>
      <c r="C17" s="17" t="s">
        <v>89</v>
      </c>
      <c r="D17" s="17" t="s">
        <v>31</v>
      </c>
      <c r="F17" s="17">
        <v>12</v>
      </c>
      <c r="G17" s="17" t="s">
        <v>102</v>
      </c>
      <c r="H17" s="17" t="s">
        <v>103</v>
      </c>
    </row>
    <row r="18" spans="1:8" ht="16.5" x14ac:dyDescent="0.25">
      <c r="A18" s="20"/>
      <c r="B18" s="17" t="s">
        <v>90</v>
      </c>
      <c r="C18" s="17" t="s">
        <v>91</v>
      </c>
      <c r="G18" s="17" t="s">
        <v>92</v>
      </c>
      <c r="H18" s="17" t="s">
        <v>93</v>
      </c>
    </row>
  </sheetData>
  <conditionalFormatting sqref="B7:I18">
    <cfRule type="containsBlanks" dxfId="402" priority="1">
      <formula>LEN(TRIM(B7))=0</formula>
    </cfRule>
  </conditionalFormatting>
  <dataValidations count="2">
    <dataValidation type="date" operator="lessThanOrEqual" allowBlank="1" showInputMessage="1" showErrorMessage="1" errorTitle="Error" error="Please enter in a valid date" sqref="B3" xr:uid="{EF5208E4-3DD1-473B-B5D2-12336BB89A88}">
      <formula1>45317</formula1>
    </dataValidation>
    <dataValidation type="list" allowBlank="1" showInputMessage="1" showErrorMessage="1" errorTitle="Error" error="Please choose from the drop-down list" sqref="F1" xr:uid="{E0DD9541-6A4F-4743-BECB-36515FE31D04}">
      <formula1>ActivitiesList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3" name="Button 1">
              <controlPr defaultSize="0" print="0" autoFill="0" autoPict="0" macro="[0]!TabulateCaller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4" name="Button 2">
              <controlPr defaultSize="0" print="0" autoFill="0" autoPict="0" macro="[0]!RemoveShee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5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6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4E1DA0C-10B8-459F-84B8-771F1A9C226E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F458F702-9524-422E-9143-8B8F66775305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2788C627-9469-4DBC-8A57-CB0BEF2F4CD3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6CBC7799-4C16-46B0-9979-1E1F23E48397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65ACD9B1-5376-410A-857A-1D90AA195729}">
            <xm:f>AND(ISERROR(MATCH(TRIM($D$11),'Ref Tables'!$F$2:$F$9,0)), NOT(ISBLANK($D$11)))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7" id="{2A8F1AD8-5BF4-44DC-869E-39FA87FCA5FE}">
            <xm:f>AND(ISERROR(MATCH(TRIM($D$12),'Ref Tables'!$F$2:$F$9,0)), NOT(ISBLANK($D$12)))</xm:f>
            <x14:dxf>
              <fill>
                <patternFill>
                  <bgColor rgb="FFFF0000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8" id="{4438CE92-42A7-43A4-B2F2-B5754C9E33C8}">
            <xm:f>AND(ISERROR(MATCH(TRIM($D$13),'Ref Tables'!$F$2:$F$9,0)), NOT(ISBLANK($D$13)))</xm:f>
            <x14:dxf>
              <fill>
                <patternFill>
                  <bgColor rgb="FFFF0000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9" id="{25572CA2-1CDD-45F5-A4FF-AD95FB410A99}">
            <xm:f>AND(ISERROR(MATCH(TRIM($D$14),'Ref Tables'!$F$2:$F$9,0)), NOT(ISBLANK($D$14)))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0" id="{AF8E4B17-4224-4838-80A0-F777C0F2F8B7}">
            <xm:f>AND(ISERROR(MATCH(TRIM($D$15),'Ref Tables'!$F$2:$F$9,0)), NOT(ISBLANK($D$15)))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1" id="{E8763FCB-80F6-4460-B5A1-92A77745D89D}">
            <xm:f>AND(ISERROR(MATCH(TRIM($D$16),'Ref Tables'!$F$2:$F$9,0)), NOT(ISBLANK($D$16)))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5347D308-97C3-401A-B2C7-EA2AB1C4AA7E}">
            <xm:f>AND(ISERROR(MATCH(TRIM($D$17),'Ref Tables'!$F$2:$F$9,0)), NOT(ISBLANK($D$17)))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3" id="{46C677D6-C705-4CDE-924E-A406E349E104}">
            <xm:f>AND(ISERROR(MATCH(TRIM($D$18),'Ref Tables'!$F$2:$F$9,0)), NOT(ISBLANK($D$18)))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4" id="{853509C6-89B8-4547-AC68-5AAF38E4E48A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5" id="{BEEC856F-480B-4550-ABD0-95484B9137CF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6" id="{84EBE017-8FD4-42C1-AE1E-2801C6B24469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7" id="{36AFAD8A-6391-487E-B19C-C3AEEEBE631D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8" id="{032297D0-05E8-4584-8404-6B4FF911D1C6}">
            <xm:f>AND(ISERROR(MATCH(TRIM($E$11),'Ref Tables'!$H$2:$H$4,0)), NOT(ISBLANK($E$11)))</xm:f>
            <x14:dxf>
              <fill>
                <patternFill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19" id="{30164CB7-1515-4D06-AB0F-E42D1EDC0D48}">
            <xm:f>AND(ISERROR(MATCH(TRIM($E$12),'Ref Tables'!$H$2:$H$4,0)), NOT(ISBLANK($E$12)))</xm:f>
            <x14:dxf>
              <fill>
                <patternFill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0" id="{1018AA82-F441-400F-8BDB-6CA107E1E1B6}">
            <xm:f>AND(ISERROR(MATCH(TRIM($E$13),'Ref Tables'!$H$2:$H$4,0)), NOT(ISBLANK($E$13)))</xm:f>
            <x14:dxf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1" id="{6F509001-DAE0-4A59-A368-BE6B78DD8341}">
            <xm:f>AND(ISERROR(MATCH(TRIM($E$14),'Ref Tables'!$H$2:$H$4,0)), NOT(ISBLANK($E$14)))</xm:f>
            <x14:dxf>
              <fill>
                <patternFill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" id="{EE953870-A60D-4A0E-BC63-5443A48652AF}">
            <xm:f>AND(ISERROR(MATCH(TRIM($E$15),'Ref Tables'!$H$2:$H$4,0)), NOT(ISBLANK($E$15)))</xm:f>
            <x14:dxf>
              <fill>
                <patternFill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3" id="{CD1165B4-B2E3-46BF-9820-93F22CAA31D5}">
            <xm:f>AND(ISERROR(MATCH(TRIM($E$16),'Ref Tables'!$H$2:$H$4,0)), NOT(ISBLANK($E$16)))</xm:f>
            <x14:dxf>
              <fill>
                <patternFill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4" id="{090E0A3C-9BC5-4110-86D1-A75104F2516A}">
            <xm:f>AND(ISERROR(MATCH(TRIM($E$17),'Ref Tables'!$H$2:$H$4,0)), NOT(ISBLANK($E$17)))</xm:f>
            <x14:dxf>
              <fill>
                <patternFill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5" id="{47736729-749C-47F3-8160-5F094B4BD5D3}">
            <xm:f>AND(ISERROR(MATCH(TRIM($E$18),'Ref Tables'!$H$2:$H$4,0)), NOT(ISBLANK($E$18)))</xm:f>
            <x14:dxf>
              <fill>
                <patternFill>
                  <bgColor rgb="FFFF0000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6" id="{390DFE14-E28A-47E2-931A-8B94CBCC7EEE}">
            <xm:f>AND(ISERROR(MATCH(VALUE(TRIM($F$7)),'Ref Tables'!$J$2:$J$8,0)), NOT(ISBLANK($F$7)))</xm:f>
            <x14:dxf>
              <fill>
                <patternFill>
                  <bgColor rgb="FFFF0000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27" id="{4E628C70-9EBB-42B6-A3B3-68906CCA44EA}">
            <xm:f>AND(ISERROR(MATCH(VALUE(TRIM($F$8)),'Ref Tables'!$J$2:$J$8,0)), NOT(ISBLANK($F$8)))</xm:f>
            <x14:dxf>
              <fill>
                <patternFill>
                  <bgColor rgb="FFFF0000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28" id="{92252B2E-4F1B-4129-A583-4679BE50D246}">
            <xm:f>AND(ISERROR(MATCH(VALUE(TRIM($F$9)),'Ref Tables'!$J$2:$J$8,0)), NOT(ISBLANK($F$9)))</xm:f>
            <x14:dxf>
              <fill>
                <patternFill>
                  <bgColor rgb="FFFF0000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29" id="{B07FA9E1-1178-4935-9132-3B3B67D78988}">
            <xm:f>AND(ISERROR(MATCH(VALUE(TRIM($F$10)),'Ref Tables'!$J$2:$J$8,0)), NOT(ISBLANK($F$10)))</xm:f>
            <x14:dxf>
              <fill>
                <patternFill>
                  <bgColor rgb="FFFF0000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30" id="{7BA30D51-A914-4E4C-9D0F-3A5B6A7E20BA}">
            <xm:f>AND(ISERROR(MATCH(VALUE(TRIM($F$11)),'Ref Tables'!$J$2:$J$8,0)), NOT(ISBLANK($F$11)))</xm:f>
            <x14:dxf>
              <fill>
                <patternFill>
                  <bgColor rgb="FFFF0000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31" id="{BB6FBC02-8172-4289-A201-AD5710ABF0E7}">
            <xm:f>AND(ISERROR(MATCH(VALUE(TRIM($F$12)),'Ref Tables'!$J$2:$J$8,0)), NOT(ISBLANK($F$12)))</xm:f>
            <x14:dxf>
              <fill>
                <patternFill>
                  <bgColor rgb="FFFF000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32" id="{492B9ADA-1DBA-41BE-9F70-9931EB2B1E3B}">
            <xm:f>AND(ISERROR(MATCH(VALUE(TRIM($F$13)),'Ref Tables'!$J$2:$J$8,0)), NOT(ISBLANK($F$13)))</xm:f>
            <x14:dxf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33" id="{366DC5BF-4043-4689-99DB-8D8035E23F59}">
            <xm:f>AND(ISERROR(MATCH(VALUE(TRIM($F$14)),'Ref Tables'!$J$2:$J$8,0)), NOT(ISBLANK($F$14)))</xm:f>
            <x14:dxf>
              <fill>
                <patternFill>
                  <bgColor rgb="FFFF0000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34" id="{A904A7E7-3E24-4DAD-A028-9AA3736753F6}">
            <xm:f>AND(ISERROR(MATCH(VALUE(TRIM($F$15)),'Ref Tables'!$J$2:$J$8,0)), NOT(ISBLANK($F$15)))</xm:f>
            <x14:dxf>
              <fill>
                <patternFill>
                  <bgColor rgb="FFFF0000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35" id="{22751E57-FA5D-4A0F-A382-38A863044590}">
            <xm:f>AND(ISERROR(MATCH(VALUE(TRIM($F$16)),'Ref Tables'!$J$2:$J$8,0)), NOT(ISBLANK($F$16)))</xm:f>
            <x14:dxf>
              <fill>
                <patternFill>
                  <bgColor rgb="FFFF0000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36" id="{3EADC256-E946-4F84-A27B-D5734B33AE76}">
            <xm:f>AND(ISERROR(MATCH(VALUE(TRIM($F$17)),'Ref Tables'!$J$2:$J$8,0)), NOT(ISBLANK($F$17)))</xm:f>
            <x14:dxf>
              <fill>
                <patternFill>
                  <bgColor rgb="FFFF0000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37" id="{86D46AE9-53E0-43F4-B55B-400E2054DF8B}">
            <xm:f>AND(ISERROR(MATCH(VALUE(TRIM($F$18)),'Ref Tables'!$J$2:$J$8,0)), NOT(ISBLANK($F$18)))</xm:f>
            <x14:dxf>
              <fill>
                <patternFill>
                  <bgColor rgb="FFFF0000"/>
                </patternFill>
              </fill>
            </x14:dxf>
          </x14:cfRule>
          <xm:sqref>F18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2D9A4-3082-4088-BBB6-B658AFF0FAE2}">
  <sheetPr codeName="Sheet7"/>
  <dimension ref="A1:I18"/>
  <sheetViews>
    <sheetView workbookViewId="0">
      <selection activeCell="J23" sqref="J23:J24"/>
    </sheetView>
  </sheetViews>
  <sheetFormatPr defaultRowHeight="15" x14ac:dyDescent="0.25"/>
  <cols>
    <col min="1" max="1" width="8.7109375" style="17" bestFit="1" customWidth="1"/>
    <col min="2" max="2" width="9.28515625" style="17" bestFit="1" customWidth="1"/>
    <col min="3" max="3" width="12.7109375" style="17" bestFit="1" customWidth="1"/>
    <col min="4" max="4" width="11" style="17" bestFit="1" customWidth="1"/>
    <col min="5" max="5" width="10" style="17" bestFit="1" customWidth="1"/>
    <col min="6" max="6" width="8.7109375" style="17" bestFit="1" customWidth="1"/>
    <col min="7" max="7" width="12.85546875" style="17" bestFit="1" customWidth="1"/>
    <col min="8" max="8" width="10" style="17" bestFit="1" customWidth="1"/>
    <col min="9" max="9" width="8.5703125" style="17" bestFit="1" customWidth="1"/>
    <col min="10" max="16384" width="9.140625" style="17"/>
  </cols>
  <sheetData>
    <row r="1" spans="1:9" ht="15.75" thickBot="1" x14ac:dyDescent="0.3">
      <c r="A1" s="1" t="s">
        <v>59</v>
      </c>
      <c r="B1" s="18" t="s">
        <v>121</v>
      </c>
      <c r="E1" s="1" t="s">
        <v>1</v>
      </c>
      <c r="F1" s="17" t="s">
        <v>46</v>
      </c>
    </row>
    <row r="2" spans="1:9" ht="16.5" thickTop="1" thickBot="1" x14ac:dyDescent="0.3">
      <c r="A2" s="1" t="s">
        <v>58</v>
      </c>
      <c r="B2" s="19" t="s">
        <v>13</v>
      </c>
      <c r="E2" s="1" t="s">
        <v>120</v>
      </c>
      <c r="F2" s="17" t="s">
        <v>42</v>
      </c>
    </row>
    <row r="3" spans="1:9" ht="16.5" thickTop="1" thickBot="1" x14ac:dyDescent="0.3">
      <c r="A3" s="1" t="s">
        <v>60</v>
      </c>
      <c r="B3" s="13">
        <v>45311</v>
      </c>
      <c r="E3" s="1" t="s">
        <v>61</v>
      </c>
      <c r="F3" s="17" t="s">
        <v>126</v>
      </c>
    </row>
    <row r="4" spans="1:9" ht="15.75" thickTop="1" x14ac:dyDescent="0.25"/>
    <row r="6" spans="1:9" x14ac:dyDescent="0.25">
      <c r="A6" s="17" t="s">
        <v>57</v>
      </c>
      <c r="B6" s="17" t="s">
        <v>64</v>
      </c>
      <c r="C6" s="17" t="s">
        <v>65</v>
      </c>
      <c r="D6" s="17" t="s">
        <v>3</v>
      </c>
      <c r="E6" s="17" t="s">
        <v>4</v>
      </c>
      <c r="F6" s="17" t="s">
        <v>5</v>
      </c>
      <c r="G6" s="17" t="s">
        <v>66</v>
      </c>
      <c r="H6" s="17" t="s">
        <v>67</v>
      </c>
      <c r="I6" s="17" t="s">
        <v>106</v>
      </c>
    </row>
    <row r="7" spans="1:9" ht="16.5" x14ac:dyDescent="0.25">
      <c r="A7" s="20" t="s">
        <v>119</v>
      </c>
      <c r="B7" s="17" t="s">
        <v>68</v>
      </c>
      <c r="C7" s="17" t="s">
        <v>69</v>
      </c>
      <c r="D7" s="17" t="s">
        <v>9</v>
      </c>
      <c r="E7" s="17" t="s">
        <v>10</v>
      </c>
      <c r="F7" s="17">
        <v>6</v>
      </c>
      <c r="G7" s="17" t="s">
        <v>92</v>
      </c>
      <c r="H7" s="17" t="s">
        <v>93</v>
      </c>
    </row>
    <row r="8" spans="1:9" ht="16.5" x14ac:dyDescent="0.25">
      <c r="A8" s="20" t="s">
        <v>119</v>
      </c>
      <c r="B8" s="17" t="s">
        <v>70</v>
      </c>
      <c r="C8" s="17" t="s">
        <v>71</v>
      </c>
      <c r="D8" s="17" t="s">
        <v>18</v>
      </c>
      <c r="E8" s="17" t="s">
        <v>10</v>
      </c>
      <c r="F8" s="17">
        <v>7</v>
      </c>
      <c r="G8" s="17" t="s">
        <v>92</v>
      </c>
      <c r="H8" s="17" t="s">
        <v>93</v>
      </c>
    </row>
    <row r="9" spans="1:9" ht="16.5" x14ac:dyDescent="0.25">
      <c r="A9" s="20" t="s">
        <v>119</v>
      </c>
      <c r="B9" s="17" t="s">
        <v>72</v>
      </c>
      <c r="C9" s="17" t="s">
        <v>73</v>
      </c>
      <c r="D9" s="17" t="s">
        <v>18</v>
      </c>
      <c r="E9" s="17" t="s">
        <v>10</v>
      </c>
      <c r="F9" s="17">
        <v>7</v>
      </c>
      <c r="G9" s="17" t="s">
        <v>92</v>
      </c>
      <c r="H9" s="17" t="s">
        <v>93</v>
      </c>
    </row>
    <row r="10" spans="1:9" ht="16.5" x14ac:dyDescent="0.25">
      <c r="A10" s="20" t="s">
        <v>119</v>
      </c>
      <c r="B10" s="17" t="s">
        <v>74</v>
      </c>
      <c r="C10" s="17" t="s">
        <v>75</v>
      </c>
      <c r="D10" s="17" t="s">
        <v>22</v>
      </c>
      <c r="E10" s="17" t="s">
        <v>10</v>
      </c>
      <c r="F10" s="17">
        <v>8</v>
      </c>
      <c r="G10" s="17" t="s">
        <v>92</v>
      </c>
      <c r="H10" s="17" t="s">
        <v>93</v>
      </c>
    </row>
    <row r="11" spans="1:9" ht="16.5" x14ac:dyDescent="0.25">
      <c r="A11" s="20"/>
      <c r="B11" s="17" t="s">
        <v>76</v>
      </c>
      <c r="C11" s="17" t="s">
        <v>77</v>
      </c>
      <c r="D11" s="17" t="s">
        <v>22</v>
      </c>
      <c r="E11" s="17" t="s">
        <v>15</v>
      </c>
      <c r="F11" s="17">
        <v>8</v>
      </c>
      <c r="G11" s="17" t="s">
        <v>94</v>
      </c>
      <c r="H11" s="17" t="s">
        <v>84</v>
      </c>
    </row>
    <row r="12" spans="1:9" ht="16.5" x14ac:dyDescent="0.25">
      <c r="A12" s="20"/>
      <c r="B12" s="17" t="s">
        <v>78</v>
      </c>
      <c r="C12" s="17" t="s">
        <v>79</v>
      </c>
      <c r="D12" s="17" t="s">
        <v>22</v>
      </c>
      <c r="E12" s="17" t="s">
        <v>15</v>
      </c>
      <c r="F12" s="17">
        <v>8</v>
      </c>
      <c r="G12" s="17" t="s">
        <v>95</v>
      </c>
      <c r="H12" s="17" t="s">
        <v>96</v>
      </c>
    </row>
    <row r="13" spans="1:9" ht="16.5" x14ac:dyDescent="0.25">
      <c r="A13" s="20"/>
      <c r="B13" s="17" t="s">
        <v>80</v>
      </c>
      <c r="C13" s="17" t="s">
        <v>81</v>
      </c>
      <c r="D13" s="17" t="s">
        <v>14</v>
      </c>
      <c r="E13" s="17" t="s">
        <v>15</v>
      </c>
      <c r="F13" s="17">
        <v>9</v>
      </c>
      <c r="G13" s="17" t="s">
        <v>97</v>
      </c>
      <c r="H13" s="17" t="s">
        <v>93</v>
      </c>
    </row>
    <row r="14" spans="1:9" ht="16.5" x14ac:dyDescent="0.25">
      <c r="A14" s="20"/>
      <c r="B14" s="17" t="s">
        <v>82</v>
      </c>
      <c r="C14" s="17" t="s">
        <v>83</v>
      </c>
      <c r="D14" s="17" t="s">
        <v>25</v>
      </c>
      <c r="E14" s="17" t="s">
        <v>15</v>
      </c>
      <c r="F14" s="17">
        <v>9</v>
      </c>
      <c r="G14" s="17" t="s">
        <v>98</v>
      </c>
      <c r="H14" s="17" t="s">
        <v>84</v>
      </c>
    </row>
    <row r="15" spans="1:9" ht="16.5" x14ac:dyDescent="0.25">
      <c r="A15" s="20" t="s">
        <v>119</v>
      </c>
      <c r="B15" s="17" t="s">
        <v>85</v>
      </c>
      <c r="C15" s="17" t="s">
        <v>86</v>
      </c>
      <c r="D15" s="17" t="s">
        <v>25</v>
      </c>
      <c r="E15" s="17" t="s">
        <v>15</v>
      </c>
      <c r="F15" s="17">
        <v>10</v>
      </c>
      <c r="G15" s="17" t="s">
        <v>99</v>
      </c>
      <c r="H15" s="17" t="s">
        <v>100</v>
      </c>
    </row>
    <row r="16" spans="1:9" ht="16.5" x14ac:dyDescent="0.25">
      <c r="A16" s="20" t="s">
        <v>119</v>
      </c>
      <c r="B16" s="17" t="s">
        <v>87</v>
      </c>
      <c r="C16" s="17" t="s">
        <v>9</v>
      </c>
      <c r="D16" s="17" t="s">
        <v>28</v>
      </c>
      <c r="E16" s="17" t="s">
        <v>19</v>
      </c>
      <c r="F16" s="17">
        <v>11</v>
      </c>
      <c r="G16" s="17" t="s">
        <v>101</v>
      </c>
      <c r="H16" s="17" t="s">
        <v>96</v>
      </c>
    </row>
    <row r="17" spans="1:8" ht="16.5" x14ac:dyDescent="0.25">
      <c r="A17" s="20" t="s">
        <v>119</v>
      </c>
      <c r="B17" s="17" t="s">
        <v>88</v>
      </c>
      <c r="C17" s="17" t="s">
        <v>89</v>
      </c>
      <c r="D17" s="17" t="s">
        <v>31</v>
      </c>
      <c r="F17" s="17">
        <v>12</v>
      </c>
      <c r="G17" s="17" t="s">
        <v>102</v>
      </c>
      <c r="H17" s="17" t="s">
        <v>103</v>
      </c>
    </row>
    <row r="18" spans="1:8" ht="16.5" x14ac:dyDescent="0.25">
      <c r="A18" s="20"/>
      <c r="B18" s="17" t="s">
        <v>90</v>
      </c>
      <c r="C18" s="17" t="s">
        <v>91</v>
      </c>
      <c r="G18" s="17" t="s">
        <v>92</v>
      </c>
      <c r="H18" s="17" t="s">
        <v>93</v>
      </c>
    </row>
  </sheetData>
  <conditionalFormatting sqref="B7:I18">
    <cfRule type="containsBlanks" dxfId="365" priority="1">
      <formula>LEN(TRIM(B7))=0</formula>
    </cfRule>
  </conditionalFormatting>
  <dataValidations count="2">
    <dataValidation type="date" operator="lessThanOrEqual" allowBlank="1" showInputMessage="1" showErrorMessage="1" errorTitle="Error" error="Please enter in a valid date" sqref="B3" xr:uid="{46F4D341-CDC4-4A53-ADBB-0DBC41E92871}">
      <formula1>45317</formula1>
    </dataValidation>
    <dataValidation type="list" allowBlank="1" showInputMessage="1" showErrorMessage="1" errorTitle="Error" error="Please choose from the drop-down list" sqref="F1" xr:uid="{4F074E0C-90BF-45C8-9237-94B21D90446A}">
      <formula1>ActivitiesList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TabulateCaller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Button 2">
              <controlPr defaultSize="0" print="0" autoFill="0" autoPict="0" macro="[0]!RemoveShee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98E04E9-A8EF-49D1-A403-A2DD10B0932B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41F75857-36BB-4D3C-9290-5ECBA8BCE9DD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5209320B-CA90-4F90-8E2F-E5EBE7AD9B8D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02AC32B5-BA15-4BB6-99E2-F0C406FC7C8F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7FE4A532-C1C2-4644-B366-3459CF8DF12F}">
            <xm:f>AND(ISERROR(MATCH(TRIM($D$11),'Ref Tables'!$F$2:$F$9,0)), NOT(ISBLANK($D$11)))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7" id="{D3B9D2B2-5EE5-45DC-97D6-CE8BFE09A8A3}">
            <xm:f>AND(ISERROR(MATCH(TRIM($D$12),'Ref Tables'!$F$2:$F$9,0)), NOT(ISBLANK($D$12)))</xm:f>
            <x14:dxf>
              <fill>
                <patternFill>
                  <bgColor rgb="FFFF0000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8" id="{B15B4218-1DFA-466F-9320-B33B6D5BB8BE}">
            <xm:f>AND(ISERROR(MATCH(TRIM($D$13),'Ref Tables'!$F$2:$F$9,0)), NOT(ISBLANK($D$13)))</xm:f>
            <x14:dxf>
              <fill>
                <patternFill>
                  <bgColor rgb="FFFF0000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9" id="{A1357108-A4A3-4EA3-BE4D-88776BC7544C}">
            <xm:f>AND(ISERROR(MATCH(TRIM($D$14),'Ref Tables'!$F$2:$F$9,0)), NOT(ISBLANK($D$14)))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0" id="{0D057B52-E609-4D1F-8ABC-ECFAC9C67F26}">
            <xm:f>AND(ISERROR(MATCH(TRIM($D$15),'Ref Tables'!$F$2:$F$9,0)), NOT(ISBLANK($D$15)))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1" id="{CDBAA42C-783E-4EC4-89CA-47C57541FCC2}">
            <xm:f>AND(ISERROR(MATCH(TRIM($D$16),'Ref Tables'!$F$2:$F$9,0)), NOT(ISBLANK($D$16)))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E86850FC-4454-40C9-994C-07A4A5B49AFE}">
            <xm:f>AND(ISERROR(MATCH(TRIM($D$17),'Ref Tables'!$F$2:$F$9,0)), NOT(ISBLANK($D$17)))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3" id="{36008AB8-3BB8-40FD-AE1B-E720EACECEC2}">
            <xm:f>AND(ISERROR(MATCH(TRIM($D$18),'Ref Tables'!$F$2:$F$9,0)), NOT(ISBLANK($D$18)))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4" id="{38AB54BB-E014-43C8-B1EA-820DE22FF63C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5" id="{AAC8B26A-B813-4841-9B98-4AA0FBC5E0EA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6" id="{CEB1EACB-0B70-4870-820B-49EA74E9CE84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7" id="{706A88C9-3B17-49C3-8F22-81FFF23B87C4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8" id="{EB5D71EA-D363-4856-9E0C-5A9BF46F8EDF}">
            <xm:f>AND(ISERROR(MATCH(TRIM($E$11),'Ref Tables'!$H$2:$H$4,0)), NOT(ISBLANK($E$11)))</xm:f>
            <x14:dxf>
              <fill>
                <patternFill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19" id="{6EF5B739-3E6C-47AF-B624-879D49E34B86}">
            <xm:f>AND(ISERROR(MATCH(TRIM($E$12),'Ref Tables'!$H$2:$H$4,0)), NOT(ISBLANK($E$12)))</xm:f>
            <x14:dxf>
              <fill>
                <patternFill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0" id="{1A2FDA57-FDDF-48BF-BD4A-D9C4E4845ED0}">
            <xm:f>AND(ISERROR(MATCH(TRIM($E$13),'Ref Tables'!$H$2:$H$4,0)), NOT(ISBLANK($E$13)))</xm:f>
            <x14:dxf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1" id="{03CE00A7-9C3B-49B3-A8F1-81E2B7A9D9B3}">
            <xm:f>AND(ISERROR(MATCH(TRIM($E$14),'Ref Tables'!$H$2:$H$4,0)), NOT(ISBLANK($E$14)))</xm:f>
            <x14:dxf>
              <fill>
                <patternFill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" id="{08797F49-28EE-4CE4-9DE3-E5BA93AFAA86}">
            <xm:f>AND(ISERROR(MATCH(TRIM($E$15),'Ref Tables'!$H$2:$H$4,0)), NOT(ISBLANK($E$15)))</xm:f>
            <x14:dxf>
              <fill>
                <patternFill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3" id="{C87635DA-7D2A-4702-A86C-8D2CD242C53D}">
            <xm:f>AND(ISERROR(MATCH(TRIM($E$16),'Ref Tables'!$H$2:$H$4,0)), NOT(ISBLANK($E$16)))</xm:f>
            <x14:dxf>
              <fill>
                <patternFill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4" id="{2B9AC238-C573-40D5-B288-E60E5A8B0DD9}">
            <xm:f>AND(ISERROR(MATCH(TRIM($E$17),'Ref Tables'!$H$2:$H$4,0)), NOT(ISBLANK($E$17)))</xm:f>
            <x14:dxf>
              <fill>
                <patternFill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5" id="{10EE20AC-C3E2-4D79-86C9-54F4F8C7F807}">
            <xm:f>AND(ISERROR(MATCH(TRIM($E$18),'Ref Tables'!$H$2:$H$4,0)), NOT(ISBLANK($E$18)))</xm:f>
            <x14:dxf>
              <fill>
                <patternFill>
                  <bgColor rgb="FFFF0000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6" id="{CA9A2B07-0410-4182-918A-1F58D83E08D7}">
            <xm:f>AND(ISERROR(MATCH(VALUE(TRIM($F$7)),'Ref Tables'!$J$2:$J$8,0)), NOT(ISBLANK($F$7)))</xm:f>
            <x14:dxf>
              <fill>
                <patternFill>
                  <bgColor rgb="FFFF0000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27" id="{97300E5F-4DB8-4D5C-BF30-4CB4E902E914}">
            <xm:f>AND(ISERROR(MATCH(VALUE(TRIM($F$8)),'Ref Tables'!$J$2:$J$8,0)), NOT(ISBLANK($F$8)))</xm:f>
            <x14:dxf>
              <fill>
                <patternFill>
                  <bgColor rgb="FFFF0000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28" id="{62A499FB-9F91-412F-994C-E55E98E8EA87}">
            <xm:f>AND(ISERROR(MATCH(VALUE(TRIM($F$9)),'Ref Tables'!$J$2:$J$8,0)), NOT(ISBLANK($F$9)))</xm:f>
            <x14:dxf>
              <fill>
                <patternFill>
                  <bgColor rgb="FFFF0000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29" id="{09965CC7-188D-4A0A-9399-BB154BDCA92A}">
            <xm:f>AND(ISERROR(MATCH(VALUE(TRIM($F$10)),'Ref Tables'!$J$2:$J$8,0)), NOT(ISBLANK($F$10)))</xm:f>
            <x14:dxf>
              <fill>
                <patternFill>
                  <bgColor rgb="FFFF0000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30" id="{E6FD9E43-7FF2-4A83-8342-194CDE291863}">
            <xm:f>AND(ISERROR(MATCH(VALUE(TRIM($F$11)),'Ref Tables'!$J$2:$J$8,0)), NOT(ISBLANK($F$11)))</xm:f>
            <x14:dxf>
              <fill>
                <patternFill>
                  <bgColor rgb="FFFF0000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31" id="{10287DCA-B133-4244-830A-304FC318541F}">
            <xm:f>AND(ISERROR(MATCH(VALUE(TRIM($F$12)),'Ref Tables'!$J$2:$J$8,0)), NOT(ISBLANK($F$12)))</xm:f>
            <x14:dxf>
              <fill>
                <patternFill>
                  <bgColor rgb="FFFF000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32" id="{4C3407BB-6B45-4830-901C-42C4CA686907}">
            <xm:f>AND(ISERROR(MATCH(VALUE(TRIM($F$13)),'Ref Tables'!$J$2:$J$8,0)), NOT(ISBLANK($F$13)))</xm:f>
            <x14:dxf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33" id="{33427412-F3F6-4FB8-A6C7-B486AF2A6CD0}">
            <xm:f>AND(ISERROR(MATCH(VALUE(TRIM($F$14)),'Ref Tables'!$J$2:$J$8,0)), NOT(ISBLANK($F$14)))</xm:f>
            <x14:dxf>
              <fill>
                <patternFill>
                  <bgColor rgb="FFFF0000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34" id="{74CC4929-6C82-4ABD-BD7A-7A7CAA96B9EE}">
            <xm:f>AND(ISERROR(MATCH(VALUE(TRIM($F$15)),'Ref Tables'!$J$2:$J$8,0)), NOT(ISBLANK($F$15)))</xm:f>
            <x14:dxf>
              <fill>
                <patternFill>
                  <bgColor rgb="FFFF0000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35" id="{AD3B6252-FD2B-4CFE-B7F1-211331EBEC5D}">
            <xm:f>AND(ISERROR(MATCH(VALUE(TRIM($F$16)),'Ref Tables'!$J$2:$J$8,0)), NOT(ISBLANK($F$16)))</xm:f>
            <x14:dxf>
              <fill>
                <patternFill>
                  <bgColor rgb="FFFF0000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36" id="{D77E2702-E544-47D4-ADA9-2236E025B924}">
            <xm:f>AND(ISERROR(MATCH(VALUE(TRIM($F$17)),'Ref Tables'!$J$2:$J$8,0)), NOT(ISBLANK($F$17)))</xm:f>
            <x14:dxf>
              <fill>
                <patternFill>
                  <bgColor rgb="FFFF0000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37" id="{F5A1FE85-816A-4CAD-BEE4-180B8BD45412}">
            <xm:f>AND(ISERROR(MATCH(VALUE(TRIM($F$18)),'Ref Tables'!$J$2:$J$8,0)), NOT(ISBLANK($F$18)))</xm:f>
            <x14:dxf>
              <fill>
                <patternFill>
                  <bgColor rgb="FFFF0000"/>
                </patternFill>
              </fill>
            </x14:dxf>
          </x14:cfRule>
          <xm:sqref>F18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E69E4-222F-4F29-A56A-7253F95C6CD5}">
  <sheetPr codeName="Sheet8"/>
  <dimension ref="A1:I18"/>
  <sheetViews>
    <sheetView workbookViewId="0">
      <selection activeCell="F22" sqref="F22"/>
    </sheetView>
  </sheetViews>
  <sheetFormatPr defaultRowHeight="15" x14ac:dyDescent="0.25"/>
  <cols>
    <col min="1" max="1" width="8.7109375" style="17" bestFit="1" customWidth="1"/>
    <col min="2" max="2" width="9.28515625" style="17" bestFit="1" customWidth="1"/>
    <col min="3" max="3" width="12.7109375" style="17" bestFit="1" customWidth="1"/>
    <col min="4" max="4" width="11" style="17" bestFit="1" customWidth="1"/>
    <col min="5" max="5" width="10" style="17" bestFit="1" customWidth="1"/>
    <col min="6" max="6" width="8.7109375" style="17" bestFit="1" customWidth="1"/>
    <col min="7" max="7" width="12.85546875" style="17" bestFit="1" customWidth="1"/>
    <col min="8" max="8" width="10" style="17" bestFit="1" customWidth="1"/>
    <col min="9" max="9" width="8.5703125" style="17" bestFit="1" customWidth="1"/>
    <col min="10" max="16384" width="9.140625" style="17"/>
  </cols>
  <sheetData>
    <row r="1" spans="1:9" ht="15.75" thickBot="1" x14ac:dyDescent="0.3">
      <c r="A1" s="1" t="s">
        <v>59</v>
      </c>
      <c r="B1" s="18" t="s">
        <v>121</v>
      </c>
      <c r="E1" s="1" t="s">
        <v>1</v>
      </c>
      <c r="F1" s="17" t="s">
        <v>20</v>
      </c>
    </row>
    <row r="2" spans="1:9" ht="16.5" thickTop="1" thickBot="1" x14ac:dyDescent="0.3">
      <c r="A2" s="1" t="s">
        <v>58</v>
      </c>
      <c r="B2" s="19" t="s">
        <v>13</v>
      </c>
      <c r="E2" s="1" t="s">
        <v>120</v>
      </c>
      <c r="F2" s="17" t="s">
        <v>11</v>
      </c>
    </row>
    <row r="3" spans="1:9" ht="16.5" thickTop="1" thickBot="1" x14ac:dyDescent="0.3">
      <c r="A3" s="1" t="s">
        <v>60</v>
      </c>
      <c r="B3" s="13">
        <v>45302</v>
      </c>
      <c r="E3" s="1" t="s">
        <v>61</v>
      </c>
      <c r="F3" s="17" t="s">
        <v>127</v>
      </c>
    </row>
    <row r="4" spans="1:9" ht="15.75" thickTop="1" x14ac:dyDescent="0.25"/>
    <row r="6" spans="1:9" x14ac:dyDescent="0.25">
      <c r="A6" s="17" t="s">
        <v>57</v>
      </c>
      <c r="B6" s="17" t="s">
        <v>64</v>
      </c>
      <c r="C6" s="17" t="s">
        <v>65</v>
      </c>
      <c r="D6" s="17" t="s">
        <v>3</v>
      </c>
      <c r="E6" s="17" t="s">
        <v>4</v>
      </c>
      <c r="F6" s="17" t="s">
        <v>5</v>
      </c>
      <c r="G6" s="17" t="s">
        <v>66</v>
      </c>
      <c r="H6" s="17" t="s">
        <v>67</v>
      </c>
      <c r="I6" s="17" t="s">
        <v>106</v>
      </c>
    </row>
    <row r="7" spans="1:9" ht="16.5" x14ac:dyDescent="0.25">
      <c r="A7" s="20" t="s">
        <v>119</v>
      </c>
      <c r="B7" s="17" t="s">
        <v>68</v>
      </c>
      <c r="C7" s="17" t="s">
        <v>69</v>
      </c>
      <c r="D7" s="17" t="s">
        <v>9</v>
      </c>
      <c r="E7" s="17" t="s">
        <v>10</v>
      </c>
      <c r="F7" s="17">
        <v>6</v>
      </c>
      <c r="G7" s="17" t="s">
        <v>92</v>
      </c>
      <c r="H7" s="17" t="s">
        <v>93</v>
      </c>
      <c r="I7" s="35">
        <v>45301</v>
      </c>
    </row>
    <row r="8" spans="1:9" ht="16.5" x14ac:dyDescent="0.25">
      <c r="A8" s="20" t="s">
        <v>119</v>
      </c>
      <c r="B8" s="17" t="s">
        <v>70</v>
      </c>
      <c r="C8" s="17" t="s">
        <v>71</v>
      </c>
      <c r="D8" s="17" t="s">
        <v>18</v>
      </c>
      <c r="E8" s="17" t="s">
        <v>10</v>
      </c>
      <c r="F8" s="17">
        <v>7</v>
      </c>
      <c r="G8" s="17" t="s">
        <v>92</v>
      </c>
      <c r="H8" s="17" t="s">
        <v>93</v>
      </c>
      <c r="I8" s="35">
        <v>45301</v>
      </c>
    </row>
    <row r="9" spans="1:9" ht="16.5" x14ac:dyDescent="0.25">
      <c r="A9" s="20"/>
      <c r="B9" s="17" t="s">
        <v>72</v>
      </c>
      <c r="C9" s="17" t="s">
        <v>73</v>
      </c>
      <c r="D9" s="17" t="s">
        <v>18</v>
      </c>
      <c r="E9" s="17" t="s">
        <v>10</v>
      </c>
      <c r="F9" s="17">
        <v>7</v>
      </c>
      <c r="G9" s="17" t="s">
        <v>92</v>
      </c>
      <c r="H9" s="17" t="s">
        <v>93</v>
      </c>
    </row>
    <row r="10" spans="1:9" ht="16.5" x14ac:dyDescent="0.25">
      <c r="A10" s="20"/>
      <c r="B10" s="17" t="s">
        <v>74</v>
      </c>
      <c r="C10" s="17" t="s">
        <v>75</v>
      </c>
      <c r="D10" s="17" t="s">
        <v>22</v>
      </c>
      <c r="E10" s="17" t="s">
        <v>10</v>
      </c>
      <c r="F10" s="17">
        <v>8</v>
      </c>
      <c r="G10" s="17" t="s">
        <v>92</v>
      </c>
      <c r="H10" s="17" t="s">
        <v>93</v>
      </c>
    </row>
    <row r="11" spans="1:9" ht="16.5" x14ac:dyDescent="0.25">
      <c r="A11" s="20" t="s">
        <v>119</v>
      </c>
      <c r="B11" s="17" t="s">
        <v>76</v>
      </c>
      <c r="C11" s="17" t="s">
        <v>77</v>
      </c>
      <c r="D11" s="17" t="s">
        <v>22</v>
      </c>
      <c r="E11" s="17" t="s">
        <v>15</v>
      </c>
      <c r="F11" s="17">
        <v>8</v>
      </c>
      <c r="G11" s="17" t="s">
        <v>94</v>
      </c>
      <c r="H11" s="17" t="s">
        <v>84</v>
      </c>
      <c r="I11" s="35">
        <v>45302</v>
      </c>
    </row>
    <row r="12" spans="1:9" ht="16.5" x14ac:dyDescent="0.25">
      <c r="A12" s="20" t="s">
        <v>119</v>
      </c>
      <c r="B12" s="17" t="s">
        <v>78</v>
      </c>
      <c r="C12" s="17" t="s">
        <v>79</v>
      </c>
      <c r="D12" s="17" t="s">
        <v>22</v>
      </c>
      <c r="E12" s="17" t="s">
        <v>15</v>
      </c>
      <c r="F12" s="17">
        <v>8</v>
      </c>
      <c r="G12" s="17" t="s">
        <v>95</v>
      </c>
      <c r="H12" s="17" t="s">
        <v>96</v>
      </c>
      <c r="I12" s="35">
        <v>45302</v>
      </c>
    </row>
    <row r="13" spans="1:9" ht="16.5" x14ac:dyDescent="0.25">
      <c r="A13" s="20"/>
      <c r="B13" s="17" t="s">
        <v>80</v>
      </c>
      <c r="C13" s="17" t="s">
        <v>81</v>
      </c>
      <c r="D13" s="17" t="s">
        <v>14</v>
      </c>
      <c r="E13" s="17" t="s">
        <v>15</v>
      </c>
      <c r="F13" s="17">
        <v>9</v>
      </c>
      <c r="G13" s="17" t="s">
        <v>97</v>
      </c>
      <c r="H13" s="17" t="s">
        <v>93</v>
      </c>
    </row>
    <row r="14" spans="1:9" ht="16.5" x14ac:dyDescent="0.25">
      <c r="A14" s="20"/>
      <c r="B14" s="17" t="s">
        <v>82</v>
      </c>
      <c r="C14" s="17" t="s">
        <v>83</v>
      </c>
      <c r="D14" s="17" t="s">
        <v>25</v>
      </c>
      <c r="E14" s="17" t="s">
        <v>15</v>
      </c>
      <c r="F14" s="17">
        <v>9</v>
      </c>
      <c r="G14" s="17" t="s">
        <v>98</v>
      </c>
      <c r="H14" s="17" t="s">
        <v>84</v>
      </c>
    </row>
    <row r="15" spans="1:9" ht="16.5" x14ac:dyDescent="0.25">
      <c r="A15" s="20"/>
      <c r="B15" s="17" t="s">
        <v>85</v>
      </c>
      <c r="C15" s="17" t="s">
        <v>86</v>
      </c>
      <c r="D15" s="17" t="s">
        <v>25</v>
      </c>
      <c r="E15" s="17" t="s">
        <v>15</v>
      </c>
      <c r="F15" s="17">
        <v>10</v>
      </c>
      <c r="G15" s="17" t="s">
        <v>99</v>
      </c>
      <c r="H15" s="17" t="s">
        <v>100</v>
      </c>
    </row>
    <row r="16" spans="1:9" ht="16.5" x14ac:dyDescent="0.25">
      <c r="A16" s="20" t="s">
        <v>119</v>
      </c>
      <c r="B16" s="17" t="s">
        <v>87</v>
      </c>
      <c r="C16" s="17" t="s">
        <v>9</v>
      </c>
      <c r="D16" s="17" t="s">
        <v>28</v>
      </c>
      <c r="E16" s="17" t="s">
        <v>19</v>
      </c>
      <c r="F16" s="17">
        <v>11</v>
      </c>
      <c r="G16" s="17" t="s">
        <v>101</v>
      </c>
      <c r="H16" s="17" t="s">
        <v>96</v>
      </c>
      <c r="I16" s="35">
        <v>45303</v>
      </c>
    </row>
    <row r="17" spans="1:9" ht="16.5" x14ac:dyDescent="0.25">
      <c r="A17" s="20" t="s">
        <v>119</v>
      </c>
      <c r="B17" s="17" t="s">
        <v>88</v>
      </c>
      <c r="C17" s="17" t="s">
        <v>89</v>
      </c>
      <c r="D17" s="17" t="s">
        <v>31</v>
      </c>
      <c r="F17" s="17">
        <v>12</v>
      </c>
      <c r="G17" s="17" t="s">
        <v>102</v>
      </c>
      <c r="H17" s="17" t="s">
        <v>103</v>
      </c>
      <c r="I17" s="35">
        <v>45303</v>
      </c>
    </row>
    <row r="18" spans="1:9" ht="16.5" x14ac:dyDescent="0.25">
      <c r="A18" s="20"/>
      <c r="B18" s="17" t="s">
        <v>90</v>
      </c>
      <c r="C18" s="17" t="s">
        <v>91</v>
      </c>
      <c r="G18" s="17" t="s">
        <v>92</v>
      </c>
      <c r="H18" s="17" t="s">
        <v>93</v>
      </c>
    </row>
  </sheetData>
  <conditionalFormatting sqref="B7:I18">
    <cfRule type="containsBlanks" dxfId="328" priority="1">
      <formula>LEN(TRIM(B7))=0</formula>
    </cfRule>
  </conditionalFormatting>
  <dataValidations count="2">
    <dataValidation type="date" operator="lessThanOrEqual" allowBlank="1" showInputMessage="1" showErrorMessage="1" errorTitle="Error" error="Please enter in a valid date" sqref="B3" xr:uid="{4706C6F7-95C5-41EA-B2B1-15C9C6A71830}">
      <formula1>45317</formula1>
    </dataValidation>
    <dataValidation type="list" allowBlank="1" showInputMessage="1" showErrorMessage="1" errorTitle="Error" error="Please choose from the drop-down list" sqref="F1" xr:uid="{B4C5845E-D90A-427C-993B-8DD18157DFBE}">
      <formula1>ActivitiesList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3" name="Button 1">
              <controlPr defaultSize="0" print="0" autoFill="0" autoPict="0" macro="[0]!TabulateCaller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4" name="Button 2">
              <controlPr defaultSize="0" print="0" autoFill="0" autoPict="0" macro="[0]!RemoveShee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5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2" r:id="rId6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425DC62-14DD-49BF-9CA8-86F4A14783DA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46F6A67D-8B2C-41D4-8847-2B07F61AA26B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0B8FD4CD-C2A1-457F-BF9C-AC2371C678D9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7D79F1D0-2BEE-4AF8-9366-54A3A399F87F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8AC5F7A3-AC0B-4AAD-87EF-F6D5AC4B6B88}">
            <xm:f>AND(ISERROR(MATCH(TRIM($D$11),'Ref Tables'!$F$2:$F$9,0)), NOT(ISBLANK($D$11)))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7" id="{3093573A-E1A9-4813-B0AD-73C187C71B1D}">
            <xm:f>AND(ISERROR(MATCH(TRIM($D$12),'Ref Tables'!$F$2:$F$9,0)), NOT(ISBLANK($D$12)))</xm:f>
            <x14:dxf>
              <fill>
                <patternFill>
                  <bgColor rgb="FFFF0000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8" id="{75F75CC0-704B-49F3-A4C7-B111C99A049C}">
            <xm:f>AND(ISERROR(MATCH(TRIM($D$13),'Ref Tables'!$F$2:$F$9,0)), NOT(ISBLANK($D$13)))</xm:f>
            <x14:dxf>
              <fill>
                <patternFill>
                  <bgColor rgb="FFFF0000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9" id="{B8BFBD2A-89FE-4238-A792-9DE69CC7B713}">
            <xm:f>AND(ISERROR(MATCH(TRIM($D$14),'Ref Tables'!$F$2:$F$9,0)), NOT(ISBLANK($D$14)))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0" id="{5393FD1B-489B-4064-A0E0-4D385A75E31E}">
            <xm:f>AND(ISERROR(MATCH(TRIM($D$15),'Ref Tables'!$F$2:$F$9,0)), NOT(ISBLANK($D$15)))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1" id="{EC0656DF-7515-4D05-96DA-1616879E0BF0}">
            <xm:f>AND(ISERROR(MATCH(TRIM($D$16),'Ref Tables'!$F$2:$F$9,0)), NOT(ISBLANK($D$16)))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38064B54-566B-4617-9184-5B9518B56373}">
            <xm:f>AND(ISERROR(MATCH(TRIM($D$17),'Ref Tables'!$F$2:$F$9,0)), NOT(ISBLANK($D$17)))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3" id="{3CDE30BE-51AA-409D-B6E4-DAF9F5081153}">
            <xm:f>AND(ISERROR(MATCH(TRIM($D$18),'Ref Tables'!$F$2:$F$9,0)), NOT(ISBLANK($D$18)))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4" id="{ED0AD3F8-F415-4DE2-81D6-9E64F6B8904E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5" id="{2D700DCD-884A-40F1-AFB1-290AACF7B688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6" id="{539AFFA1-371B-41F0-97F7-CD4440B1830D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7" id="{6E51C29D-BB01-4D6D-B3B5-8D947AE55D8A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8" id="{9480FECE-7187-45A1-8B18-32478E015138}">
            <xm:f>AND(ISERROR(MATCH(TRIM($E$11),'Ref Tables'!$H$2:$H$4,0)), NOT(ISBLANK($E$11)))</xm:f>
            <x14:dxf>
              <fill>
                <patternFill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19" id="{C08192B0-49B5-4160-BBE5-6E425D951B7F}">
            <xm:f>AND(ISERROR(MATCH(TRIM($E$12),'Ref Tables'!$H$2:$H$4,0)), NOT(ISBLANK($E$12)))</xm:f>
            <x14:dxf>
              <fill>
                <patternFill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0" id="{ED4DAE08-AC18-4AAA-B741-76857AE55C1D}">
            <xm:f>AND(ISERROR(MATCH(TRIM($E$13),'Ref Tables'!$H$2:$H$4,0)), NOT(ISBLANK($E$13)))</xm:f>
            <x14:dxf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1" id="{84981640-F975-47F3-84AD-089115D119D0}">
            <xm:f>AND(ISERROR(MATCH(TRIM($E$14),'Ref Tables'!$H$2:$H$4,0)), NOT(ISBLANK($E$14)))</xm:f>
            <x14:dxf>
              <fill>
                <patternFill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" id="{488354CC-F15C-461D-99CD-0CC0D0188202}">
            <xm:f>AND(ISERROR(MATCH(TRIM($E$15),'Ref Tables'!$H$2:$H$4,0)), NOT(ISBLANK($E$15)))</xm:f>
            <x14:dxf>
              <fill>
                <patternFill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3" id="{0BAC9CBF-8161-4064-ACB5-ED786B5E262E}">
            <xm:f>AND(ISERROR(MATCH(TRIM($E$16),'Ref Tables'!$H$2:$H$4,0)), NOT(ISBLANK($E$16)))</xm:f>
            <x14:dxf>
              <fill>
                <patternFill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4" id="{AF051213-3DC8-4C28-870F-B8FD7B5893A4}">
            <xm:f>AND(ISERROR(MATCH(TRIM($E$17),'Ref Tables'!$H$2:$H$4,0)), NOT(ISBLANK($E$17)))</xm:f>
            <x14:dxf>
              <fill>
                <patternFill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5" id="{B3042EB5-2CE8-4397-90F4-0604700385C5}">
            <xm:f>AND(ISERROR(MATCH(TRIM($E$18),'Ref Tables'!$H$2:$H$4,0)), NOT(ISBLANK($E$18)))</xm:f>
            <x14:dxf>
              <fill>
                <patternFill>
                  <bgColor rgb="FFFF0000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6" id="{DD495150-F74F-4DFE-A00E-16B4D6E5335A}">
            <xm:f>AND(ISERROR(MATCH(VALUE(TRIM($F$7)),'Ref Tables'!$J$2:$J$8,0)), NOT(ISBLANK($F$7)))</xm:f>
            <x14:dxf>
              <fill>
                <patternFill>
                  <bgColor rgb="FFFF0000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27" id="{9C3E2CDB-FF94-4260-867A-E486DE48C522}">
            <xm:f>AND(ISERROR(MATCH(VALUE(TRIM($F$8)),'Ref Tables'!$J$2:$J$8,0)), NOT(ISBLANK($F$8)))</xm:f>
            <x14:dxf>
              <fill>
                <patternFill>
                  <bgColor rgb="FFFF0000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28" id="{F4AB8611-EA5A-4DD4-9043-23A2D16DC563}">
            <xm:f>AND(ISERROR(MATCH(VALUE(TRIM($F$9)),'Ref Tables'!$J$2:$J$8,0)), NOT(ISBLANK($F$9)))</xm:f>
            <x14:dxf>
              <fill>
                <patternFill>
                  <bgColor rgb="FFFF0000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29" id="{581CC5D1-A7A6-4D48-BCA2-C933BD716E10}">
            <xm:f>AND(ISERROR(MATCH(VALUE(TRIM($F$10)),'Ref Tables'!$J$2:$J$8,0)), NOT(ISBLANK($F$10)))</xm:f>
            <x14:dxf>
              <fill>
                <patternFill>
                  <bgColor rgb="FFFF0000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30" id="{CCD355E9-957D-461B-B0DA-896737EBD5B4}">
            <xm:f>AND(ISERROR(MATCH(VALUE(TRIM($F$11)),'Ref Tables'!$J$2:$J$8,0)), NOT(ISBLANK($F$11)))</xm:f>
            <x14:dxf>
              <fill>
                <patternFill>
                  <bgColor rgb="FFFF0000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31" id="{7509798D-AF75-495C-B808-F55A7BBFE945}">
            <xm:f>AND(ISERROR(MATCH(VALUE(TRIM($F$12)),'Ref Tables'!$J$2:$J$8,0)), NOT(ISBLANK($F$12)))</xm:f>
            <x14:dxf>
              <fill>
                <patternFill>
                  <bgColor rgb="FFFF000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32" id="{5E90DA05-2F06-4ABE-A2BE-1D987E9D2452}">
            <xm:f>AND(ISERROR(MATCH(VALUE(TRIM($F$13)),'Ref Tables'!$J$2:$J$8,0)), NOT(ISBLANK($F$13)))</xm:f>
            <x14:dxf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33" id="{CCCFFF4A-E683-4523-8EC7-2EA54894693B}">
            <xm:f>AND(ISERROR(MATCH(VALUE(TRIM($F$14)),'Ref Tables'!$J$2:$J$8,0)), NOT(ISBLANK($F$14)))</xm:f>
            <x14:dxf>
              <fill>
                <patternFill>
                  <bgColor rgb="FFFF0000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34" id="{5D1163B2-FC42-48A9-96A6-2288A803D089}">
            <xm:f>AND(ISERROR(MATCH(VALUE(TRIM($F$15)),'Ref Tables'!$J$2:$J$8,0)), NOT(ISBLANK($F$15)))</xm:f>
            <x14:dxf>
              <fill>
                <patternFill>
                  <bgColor rgb="FFFF0000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35" id="{A3D507AC-55F2-45A6-B7C9-44EBF3A003B3}">
            <xm:f>AND(ISERROR(MATCH(VALUE(TRIM($F$16)),'Ref Tables'!$J$2:$J$8,0)), NOT(ISBLANK($F$16)))</xm:f>
            <x14:dxf>
              <fill>
                <patternFill>
                  <bgColor rgb="FFFF0000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36" id="{E8F161B2-A616-4F80-8B40-59A0503F6DB9}">
            <xm:f>AND(ISERROR(MATCH(VALUE(TRIM($F$17)),'Ref Tables'!$J$2:$J$8,0)), NOT(ISBLANK($F$17)))</xm:f>
            <x14:dxf>
              <fill>
                <patternFill>
                  <bgColor rgb="FFFF0000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37" id="{A478F18E-3D64-4125-AB39-5D1430601E61}">
            <xm:f>AND(ISERROR(MATCH(VALUE(TRIM($F$18)),'Ref Tables'!$J$2:$J$8,0)), NOT(ISBLANK($F$18)))</xm:f>
            <x14:dxf>
              <fill>
                <patternFill>
                  <bgColor rgb="FFFF0000"/>
                </patternFill>
              </fill>
            </x14:dxf>
          </x14:cfRule>
          <xm:sqref>F18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15F9-C658-4746-B5E2-23B4F0407DDA}">
  <sheetPr codeName="Sheet9"/>
  <dimension ref="A1:I11"/>
  <sheetViews>
    <sheetView workbookViewId="0">
      <selection activeCell="L24" sqref="L24"/>
    </sheetView>
  </sheetViews>
  <sheetFormatPr defaultRowHeight="15" x14ac:dyDescent="0.25"/>
  <cols>
    <col min="1" max="1" width="8.7109375" style="17" bestFit="1" customWidth="1"/>
    <col min="2" max="2" width="9.28515625" style="17" bestFit="1" customWidth="1"/>
    <col min="3" max="3" width="11.28515625" style="17" bestFit="1" customWidth="1"/>
    <col min="4" max="4" width="11" style="17" bestFit="1" customWidth="1"/>
    <col min="5" max="5" width="10" style="17" bestFit="1" customWidth="1"/>
    <col min="6" max="6" width="8.7109375" style="17" bestFit="1" customWidth="1"/>
    <col min="7" max="7" width="9.28515625" style="17" bestFit="1" customWidth="1"/>
    <col min="8" max="8" width="9.5703125" style="17" bestFit="1" customWidth="1"/>
    <col min="9" max="9" width="8.5703125" style="17" bestFit="1" customWidth="1"/>
    <col min="10" max="16384" width="9.140625" style="17"/>
  </cols>
  <sheetData>
    <row r="1" spans="1:9" ht="15.75" thickBot="1" x14ac:dyDescent="0.3">
      <c r="A1" s="1" t="s">
        <v>59</v>
      </c>
      <c r="B1" s="18" t="s">
        <v>121</v>
      </c>
      <c r="E1" s="1" t="s">
        <v>1</v>
      </c>
      <c r="F1" s="17" t="s">
        <v>23</v>
      </c>
    </row>
    <row r="2" spans="1:9" ht="16.5" thickTop="1" thickBot="1" x14ac:dyDescent="0.3">
      <c r="A2" s="1" t="s">
        <v>58</v>
      </c>
      <c r="B2" s="19" t="s">
        <v>13</v>
      </c>
      <c r="E2" s="1" t="s">
        <v>120</v>
      </c>
      <c r="F2" s="17" t="s">
        <v>11</v>
      </c>
    </row>
    <row r="3" spans="1:9" ht="16.5" thickTop="1" thickBot="1" x14ac:dyDescent="0.3">
      <c r="A3" s="1" t="s">
        <v>60</v>
      </c>
      <c r="B3" s="13">
        <v>45301</v>
      </c>
      <c r="E3" s="1" t="s">
        <v>61</v>
      </c>
      <c r="F3" s="17" t="s">
        <v>132</v>
      </c>
    </row>
    <row r="4" spans="1:9" ht="15.75" thickTop="1" x14ac:dyDescent="0.25"/>
    <row r="6" spans="1:9" x14ac:dyDescent="0.25">
      <c r="A6" s="17" t="s">
        <v>57</v>
      </c>
      <c r="B6" s="17" t="s">
        <v>64</v>
      </c>
      <c r="C6" s="17" t="s">
        <v>65</v>
      </c>
      <c r="D6" s="17" t="s">
        <v>3</v>
      </c>
      <c r="E6" s="17" t="s">
        <v>4</v>
      </c>
      <c r="F6" s="17" t="s">
        <v>5</v>
      </c>
      <c r="G6" s="17" t="s">
        <v>66</v>
      </c>
      <c r="H6" s="17" t="s">
        <v>67</v>
      </c>
      <c r="I6" s="17" t="s">
        <v>106</v>
      </c>
    </row>
    <row r="7" spans="1:9" ht="16.5" x14ac:dyDescent="0.25">
      <c r="A7" s="20" t="s">
        <v>119</v>
      </c>
      <c r="B7" s="17" t="s">
        <v>68</v>
      </c>
      <c r="C7" s="17" t="s">
        <v>69</v>
      </c>
      <c r="D7" s="17" t="s">
        <v>9</v>
      </c>
      <c r="E7" s="17" t="s">
        <v>10</v>
      </c>
      <c r="F7" s="17">
        <v>6</v>
      </c>
      <c r="G7" s="17" t="s">
        <v>92</v>
      </c>
      <c r="H7" s="17" t="s">
        <v>93</v>
      </c>
      <c r="I7" s="35" t="s">
        <v>128</v>
      </c>
    </row>
    <row r="8" spans="1:9" ht="16.5" x14ac:dyDescent="0.25">
      <c r="A8" s="20" t="s">
        <v>119</v>
      </c>
      <c r="B8" s="17" t="s">
        <v>70</v>
      </c>
      <c r="C8" s="17" t="s">
        <v>71</v>
      </c>
      <c r="D8" s="17" t="s">
        <v>18</v>
      </c>
      <c r="E8" s="17" t="s">
        <v>10</v>
      </c>
      <c r="F8" s="17">
        <v>7</v>
      </c>
      <c r="G8" s="17" t="s">
        <v>92</v>
      </c>
      <c r="H8" s="17" t="s">
        <v>93</v>
      </c>
      <c r="I8" s="35" t="s">
        <v>129</v>
      </c>
    </row>
    <row r="9" spans="1:9" ht="16.5" x14ac:dyDescent="0.25">
      <c r="A9" s="20" t="s">
        <v>119</v>
      </c>
      <c r="B9" s="17" t="s">
        <v>72</v>
      </c>
      <c r="C9" s="17" t="s">
        <v>73</v>
      </c>
      <c r="D9" s="17" t="s">
        <v>18</v>
      </c>
      <c r="E9" s="17" t="s">
        <v>10</v>
      </c>
      <c r="F9" s="17">
        <v>7</v>
      </c>
      <c r="G9" s="17" t="s">
        <v>92</v>
      </c>
      <c r="H9" s="17" t="s">
        <v>93</v>
      </c>
      <c r="I9" s="35" t="s">
        <v>130</v>
      </c>
    </row>
    <row r="10" spans="1:9" ht="16.5" x14ac:dyDescent="0.25">
      <c r="A10" s="20" t="s">
        <v>119</v>
      </c>
      <c r="B10" s="17" t="s">
        <v>74</v>
      </c>
      <c r="C10" s="17" t="s">
        <v>75</v>
      </c>
      <c r="D10" s="17" t="s">
        <v>22</v>
      </c>
      <c r="E10" s="17" t="s">
        <v>10</v>
      </c>
      <c r="F10" s="17">
        <v>8</v>
      </c>
      <c r="G10" s="17" t="s">
        <v>92</v>
      </c>
      <c r="H10" s="17" t="s">
        <v>93</v>
      </c>
      <c r="I10" s="35" t="s">
        <v>131</v>
      </c>
    </row>
    <row r="11" spans="1:9" x14ac:dyDescent="0.25">
      <c r="I11" s="35"/>
    </row>
  </sheetData>
  <conditionalFormatting sqref="B7:I10">
    <cfRule type="containsBlanks" dxfId="291" priority="3">
      <formula>LEN(TRIM(B7))=0</formula>
    </cfRule>
  </conditionalFormatting>
  <conditionalFormatting sqref="I11">
    <cfRule type="containsBlanks" dxfId="278" priority="1">
      <formula>LEN(TRIM(I11))=0</formula>
    </cfRule>
  </conditionalFormatting>
  <dataValidations count="2">
    <dataValidation type="date" operator="lessThanOrEqual" allowBlank="1" showInputMessage="1" showErrorMessage="1" errorTitle="Error" error="Please enter in a valid date" sqref="B3" xr:uid="{3A118EFA-AC0B-4A8B-A364-C294569D0792}">
      <formula1>45317</formula1>
    </dataValidation>
    <dataValidation type="list" allowBlank="1" showInputMessage="1" showErrorMessage="1" errorTitle="Error" error="Please choose from the drop-down list" sqref="F1" xr:uid="{380AF9EB-571D-4EC5-B358-05B3192E35A8}">
      <formula1>ActivitiesList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TabulateCaller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RemoveShee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6" r:id="rId6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859531E0-742B-4557-B752-EAB050E64985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5" id="{951E74BE-AEAD-4A62-95A0-5F4ED32BF795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6" id="{6377A185-CD61-47FC-9319-CF6E60AA11DF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7" id="{0175F106-6C4E-4640-A312-D386BC4C412B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8" id="{A8BBA434-41A5-4225-BC7B-E03C7E5F50AE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9" id="{F5C62C6F-08F9-4773-B13E-1A38709F8C81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0" id="{29B51165-E851-486C-9E71-99EDB785A1DA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1" id="{47211BFC-E3C6-42E0-981B-712141D83BA4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2" id="{B1A1A1DA-65F1-411F-9A1F-E16F18B1E04C}">
            <xm:f>AND(ISERROR(MATCH(VALUE(TRIM($F$7)),'Ref Tables'!$J$2:$J$8,0)), NOT(ISBLANK($F$7)))</xm:f>
            <x14:dxf>
              <fill>
                <patternFill>
                  <bgColor rgb="FFFF0000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13" id="{4F171347-E3AF-4A3B-8F90-E37E6337A966}">
            <xm:f>AND(ISERROR(MATCH(VALUE(TRIM($F$8)),'Ref Tables'!$J$2:$J$8,0)), NOT(ISBLANK($F$8)))</xm:f>
            <x14:dxf>
              <fill>
                <patternFill>
                  <bgColor rgb="FFFF0000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14" id="{AC98FA37-B75C-43B4-B4F0-717B6F58C5EB}">
            <xm:f>AND(ISERROR(MATCH(VALUE(TRIM($F$9)),'Ref Tables'!$J$2:$J$8,0)), NOT(ISBLANK($F$9)))</xm:f>
            <x14:dxf>
              <fill>
                <patternFill>
                  <bgColor rgb="FFFF0000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15" id="{FA61D40A-0D14-43C2-A6BF-04A28EAEBFEC}">
            <xm:f>AND(ISERROR(MATCH(VALUE(TRIM($F$10)),'Ref Tables'!$J$2:$J$8,0)), NOT(ISBLANK($F$10)))</xm:f>
            <x14:dxf>
              <fill>
                <patternFill>
                  <bgColor rgb="FFFF0000"/>
                </patternFill>
              </fill>
            </x14:dxf>
          </x14:cfRule>
          <xm:sqref>F10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B0672-5D70-4F12-A5A8-CADB8D963E80}">
  <sheetPr codeName="Sheet10"/>
  <dimension ref="A1:I18"/>
  <sheetViews>
    <sheetView workbookViewId="0">
      <selection activeCell="H26" sqref="H26"/>
    </sheetView>
  </sheetViews>
  <sheetFormatPr defaultRowHeight="15" x14ac:dyDescent="0.25"/>
  <cols>
    <col min="1" max="1" width="8.7109375" style="17" bestFit="1" customWidth="1"/>
    <col min="2" max="2" width="9.28515625" style="17" bestFit="1" customWidth="1"/>
    <col min="3" max="3" width="12.7109375" style="17" bestFit="1" customWidth="1"/>
    <col min="4" max="4" width="11" style="17" bestFit="1" customWidth="1"/>
    <col min="5" max="5" width="10" style="17" bestFit="1" customWidth="1"/>
    <col min="6" max="6" width="8.7109375" style="17" bestFit="1" customWidth="1"/>
    <col min="7" max="7" width="12.85546875" style="17" bestFit="1" customWidth="1"/>
    <col min="8" max="8" width="10" style="17" bestFit="1" customWidth="1"/>
    <col min="9" max="9" width="8.5703125" style="17" bestFit="1" customWidth="1"/>
    <col min="10" max="16384" width="9.140625" style="17"/>
  </cols>
  <sheetData>
    <row r="1" spans="1:9" ht="15.75" thickBot="1" x14ac:dyDescent="0.3">
      <c r="A1" s="1" t="s">
        <v>59</v>
      </c>
      <c r="B1" s="18" t="s">
        <v>121</v>
      </c>
      <c r="E1" s="1" t="s">
        <v>1</v>
      </c>
      <c r="F1" s="17" t="s">
        <v>30</v>
      </c>
    </row>
    <row r="2" spans="1:9" ht="16.5" thickTop="1" thickBot="1" x14ac:dyDescent="0.3">
      <c r="A2" s="1" t="s">
        <v>58</v>
      </c>
      <c r="B2" s="19" t="s">
        <v>13</v>
      </c>
      <c r="E2" s="1" t="s">
        <v>120</v>
      </c>
      <c r="F2" s="17" t="s">
        <v>29</v>
      </c>
    </row>
    <row r="3" spans="1:9" ht="16.5" thickTop="1" thickBot="1" x14ac:dyDescent="0.3">
      <c r="A3" s="1" t="s">
        <v>60</v>
      </c>
      <c r="B3" s="13">
        <v>45317</v>
      </c>
      <c r="E3" s="1" t="s">
        <v>61</v>
      </c>
      <c r="F3" s="17" t="s">
        <v>133</v>
      </c>
    </row>
    <row r="4" spans="1:9" ht="15.75" thickTop="1" x14ac:dyDescent="0.25"/>
    <row r="6" spans="1:9" x14ac:dyDescent="0.25">
      <c r="A6" s="17" t="s">
        <v>57</v>
      </c>
      <c r="B6" s="17" t="s">
        <v>64</v>
      </c>
      <c r="C6" s="17" t="s">
        <v>65</v>
      </c>
      <c r="D6" s="17" t="s">
        <v>3</v>
      </c>
      <c r="E6" s="17" t="s">
        <v>4</v>
      </c>
      <c r="F6" s="17" t="s">
        <v>5</v>
      </c>
      <c r="G6" s="17" t="s">
        <v>66</v>
      </c>
      <c r="H6" s="17" t="s">
        <v>67</v>
      </c>
      <c r="I6" s="17" t="s">
        <v>106</v>
      </c>
    </row>
    <row r="7" spans="1:9" ht="16.5" x14ac:dyDescent="0.25">
      <c r="A7" s="20" t="s">
        <v>119</v>
      </c>
      <c r="B7" s="17" t="s">
        <v>68</v>
      </c>
      <c r="C7" s="17" t="s">
        <v>69</v>
      </c>
      <c r="D7" s="17" t="s">
        <v>9</v>
      </c>
      <c r="E7" s="17" t="s">
        <v>10</v>
      </c>
      <c r="F7" s="17">
        <v>6</v>
      </c>
      <c r="G7" s="17" t="s">
        <v>92</v>
      </c>
      <c r="H7" s="17" t="s">
        <v>93</v>
      </c>
    </row>
    <row r="8" spans="1:9" ht="16.5" x14ac:dyDescent="0.25">
      <c r="A8" s="20" t="s">
        <v>119</v>
      </c>
      <c r="B8" s="17" t="s">
        <v>70</v>
      </c>
      <c r="C8" s="17" t="s">
        <v>71</v>
      </c>
      <c r="D8" s="17" t="s">
        <v>18</v>
      </c>
      <c r="E8" s="17" t="s">
        <v>10</v>
      </c>
      <c r="F8" s="17">
        <v>7</v>
      </c>
      <c r="G8" s="17" t="s">
        <v>92</v>
      </c>
      <c r="H8" s="17" t="s">
        <v>93</v>
      </c>
    </row>
    <row r="9" spans="1:9" ht="16.5" x14ac:dyDescent="0.25">
      <c r="A9" s="20" t="s">
        <v>119</v>
      </c>
      <c r="B9" s="17" t="s">
        <v>72</v>
      </c>
      <c r="C9" s="17" t="s">
        <v>73</v>
      </c>
      <c r="D9" s="17" t="s">
        <v>18</v>
      </c>
      <c r="E9" s="17" t="s">
        <v>10</v>
      </c>
      <c r="F9" s="17">
        <v>7</v>
      </c>
      <c r="G9" s="17" t="s">
        <v>92</v>
      </c>
      <c r="H9" s="17" t="s">
        <v>93</v>
      </c>
    </row>
    <row r="10" spans="1:9" ht="16.5" x14ac:dyDescent="0.25">
      <c r="A10" s="20"/>
      <c r="B10" s="17" t="s">
        <v>74</v>
      </c>
      <c r="C10" s="17" t="s">
        <v>75</v>
      </c>
      <c r="D10" s="17" t="s">
        <v>22</v>
      </c>
      <c r="E10" s="17" t="s">
        <v>10</v>
      </c>
      <c r="F10" s="17">
        <v>8</v>
      </c>
      <c r="G10" s="17" t="s">
        <v>92</v>
      </c>
      <c r="H10" s="17" t="s">
        <v>93</v>
      </c>
    </row>
    <row r="11" spans="1:9" ht="16.5" x14ac:dyDescent="0.25">
      <c r="A11" s="20" t="s">
        <v>119</v>
      </c>
      <c r="B11" s="17" t="s">
        <v>76</v>
      </c>
      <c r="C11" s="17" t="s">
        <v>77</v>
      </c>
      <c r="D11" s="17" t="s">
        <v>22</v>
      </c>
      <c r="E11" s="17" t="s">
        <v>15</v>
      </c>
      <c r="F11" s="17">
        <v>8</v>
      </c>
      <c r="G11" s="17" t="s">
        <v>94</v>
      </c>
      <c r="H11" s="17" t="s">
        <v>84</v>
      </c>
    </row>
    <row r="12" spans="1:9" ht="16.5" x14ac:dyDescent="0.25">
      <c r="A12" s="20" t="s">
        <v>119</v>
      </c>
      <c r="B12" s="17" t="s">
        <v>78</v>
      </c>
      <c r="C12" s="17" t="s">
        <v>79</v>
      </c>
      <c r="D12" s="17" t="s">
        <v>22</v>
      </c>
      <c r="E12" s="17" t="s">
        <v>15</v>
      </c>
      <c r="F12" s="17">
        <v>8</v>
      </c>
      <c r="G12" s="17" t="s">
        <v>95</v>
      </c>
      <c r="H12" s="17" t="s">
        <v>96</v>
      </c>
    </row>
    <row r="13" spans="1:9" ht="16.5" x14ac:dyDescent="0.25">
      <c r="A13" s="20" t="s">
        <v>119</v>
      </c>
      <c r="B13" s="17" t="s">
        <v>80</v>
      </c>
      <c r="C13" s="17" t="s">
        <v>81</v>
      </c>
      <c r="D13" s="17" t="s">
        <v>14</v>
      </c>
      <c r="E13" s="17" t="s">
        <v>15</v>
      </c>
      <c r="F13" s="17">
        <v>9</v>
      </c>
      <c r="G13" s="17" t="s">
        <v>97</v>
      </c>
      <c r="H13" s="17" t="s">
        <v>93</v>
      </c>
    </row>
    <row r="14" spans="1:9" ht="16.5" x14ac:dyDescent="0.25">
      <c r="A14" s="20" t="s">
        <v>119</v>
      </c>
      <c r="B14" s="17" t="s">
        <v>82</v>
      </c>
      <c r="C14" s="17" t="s">
        <v>83</v>
      </c>
      <c r="D14" s="17" t="s">
        <v>25</v>
      </c>
      <c r="E14" s="17" t="s">
        <v>15</v>
      </c>
      <c r="F14" s="17">
        <v>9</v>
      </c>
      <c r="G14" s="17" t="s">
        <v>98</v>
      </c>
      <c r="H14" s="17" t="s">
        <v>84</v>
      </c>
    </row>
    <row r="15" spans="1:9" ht="16.5" x14ac:dyDescent="0.25">
      <c r="A15" s="20" t="s">
        <v>119</v>
      </c>
      <c r="B15" s="17" t="s">
        <v>85</v>
      </c>
      <c r="C15" s="17" t="s">
        <v>86</v>
      </c>
      <c r="D15" s="17" t="s">
        <v>25</v>
      </c>
      <c r="E15" s="17" t="s">
        <v>15</v>
      </c>
      <c r="F15" s="17">
        <v>10</v>
      </c>
      <c r="G15" s="17" t="s">
        <v>99</v>
      </c>
      <c r="H15" s="17" t="s">
        <v>100</v>
      </c>
    </row>
    <row r="16" spans="1:9" ht="16.5" x14ac:dyDescent="0.25">
      <c r="A16" s="20" t="s">
        <v>119</v>
      </c>
      <c r="B16" s="17" t="s">
        <v>87</v>
      </c>
      <c r="C16" s="17" t="s">
        <v>9</v>
      </c>
      <c r="D16" s="17" t="s">
        <v>28</v>
      </c>
      <c r="E16" s="17" t="s">
        <v>19</v>
      </c>
      <c r="F16" s="17">
        <v>11</v>
      </c>
      <c r="G16" s="17" t="s">
        <v>101</v>
      </c>
      <c r="H16" s="17" t="s">
        <v>96</v>
      </c>
    </row>
    <row r="17" spans="1:8" ht="16.5" x14ac:dyDescent="0.25">
      <c r="A17" s="20" t="s">
        <v>119</v>
      </c>
      <c r="B17" s="17" t="s">
        <v>88</v>
      </c>
      <c r="C17" s="17" t="s">
        <v>89</v>
      </c>
      <c r="D17" s="17" t="s">
        <v>31</v>
      </c>
      <c r="F17" s="17">
        <v>12</v>
      </c>
      <c r="G17" s="17" t="s">
        <v>102</v>
      </c>
      <c r="H17" s="17" t="s">
        <v>103</v>
      </c>
    </row>
    <row r="18" spans="1:8" ht="16.5" x14ac:dyDescent="0.25">
      <c r="A18" s="20" t="s">
        <v>119</v>
      </c>
      <c r="B18" s="17" t="s">
        <v>90</v>
      </c>
      <c r="C18" s="17" t="s">
        <v>91</v>
      </c>
      <c r="G18" s="17" t="s">
        <v>92</v>
      </c>
      <c r="H18" s="17" t="s">
        <v>93</v>
      </c>
    </row>
  </sheetData>
  <conditionalFormatting sqref="B7:I18">
    <cfRule type="containsBlanks" dxfId="277" priority="1">
      <formula>LEN(TRIM(B7))=0</formula>
    </cfRule>
  </conditionalFormatting>
  <dataValidations count="2">
    <dataValidation type="date" operator="lessThanOrEqual" allowBlank="1" showInputMessage="1" showErrorMessage="1" errorTitle="Error" error="Please enter in a valid date" sqref="B3" xr:uid="{0F2D7E5A-3D09-4F77-B3DC-ACBC4752F293}">
      <formula1>45317</formula1>
    </dataValidation>
    <dataValidation type="list" allowBlank="1" showInputMessage="1" showErrorMessage="1" errorTitle="Error" error="Please choose from the drop-down list" sqref="F1" xr:uid="{B929C9DA-62A0-46EA-A19F-DB13AC31CD73}">
      <formula1>ActivitiesList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Button 1">
              <controlPr defaultSize="0" print="0" autoFill="0" autoPict="0" macro="[0]!TabulateCaller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4" name="Button 2">
              <controlPr defaultSize="0" print="0" autoFill="0" autoPict="0" macro="[0]!RemoveShee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5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6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2A57D2B-3DEC-4DF4-9B40-001D410B504B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91704B10-8FD6-4ED7-9CC0-6808D6C8B789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5A83252D-F8BD-4AD9-A00F-938FC4CF6423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99A3289F-22D2-4EC5-B30F-935215EECCCB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CBF5C496-4BBD-42CB-84E6-3B354295D821}">
            <xm:f>AND(ISERROR(MATCH(TRIM($D$11),'Ref Tables'!$F$2:$F$9,0)), NOT(ISBLANK($D$11)))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7" id="{A39FF1BD-F439-4ADF-A436-A722A4A67805}">
            <xm:f>AND(ISERROR(MATCH(TRIM($D$12),'Ref Tables'!$F$2:$F$9,0)), NOT(ISBLANK($D$12)))</xm:f>
            <x14:dxf>
              <fill>
                <patternFill>
                  <bgColor rgb="FFFF0000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8" id="{6269D308-935A-476F-ACCD-5E966A3F329B}">
            <xm:f>AND(ISERROR(MATCH(TRIM($D$13),'Ref Tables'!$F$2:$F$9,0)), NOT(ISBLANK($D$13)))</xm:f>
            <x14:dxf>
              <fill>
                <patternFill>
                  <bgColor rgb="FFFF0000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9" id="{62CE855B-BEE5-4B34-AAA2-503DAA142759}">
            <xm:f>AND(ISERROR(MATCH(TRIM($D$14),'Ref Tables'!$F$2:$F$9,0)), NOT(ISBLANK($D$14)))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0" id="{0AA22EFD-72F9-4A1E-A7EA-A491B678D4CA}">
            <xm:f>AND(ISERROR(MATCH(TRIM($D$15),'Ref Tables'!$F$2:$F$9,0)), NOT(ISBLANK($D$15)))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1" id="{7CA9DBA1-596C-4EA5-8C5C-09E268A7E4F9}">
            <xm:f>AND(ISERROR(MATCH(TRIM($D$16),'Ref Tables'!$F$2:$F$9,0)), NOT(ISBLANK($D$16)))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3758082E-DDA5-4E56-8EA2-28F2C45F3ED2}">
            <xm:f>AND(ISERROR(MATCH(TRIM($D$17),'Ref Tables'!$F$2:$F$9,0)), NOT(ISBLANK($D$17)))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3" id="{BEF85AA8-86BC-454D-878E-0E5C591BAB15}">
            <xm:f>AND(ISERROR(MATCH(TRIM($D$18),'Ref Tables'!$F$2:$F$9,0)), NOT(ISBLANK($D$18)))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4" id="{63B2857B-E311-4D93-9E88-D02BE22C9B8F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5" id="{C510FB9B-F725-4230-A6A3-D75843538FEC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6" id="{485172F1-C31D-44FD-B972-530B7436A530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7" id="{2400A309-D652-4BB1-98C3-C9D6ED0D783D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8" id="{A8A841E3-1C9D-42C8-BF1E-605C3739D631}">
            <xm:f>AND(ISERROR(MATCH(TRIM($E$11),'Ref Tables'!$H$2:$H$4,0)), NOT(ISBLANK($E$11)))</xm:f>
            <x14:dxf>
              <fill>
                <patternFill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19" id="{7374BD57-065B-4EC4-A008-6C9732F2B38B}">
            <xm:f>AND(ISERROR(MATCH(TRIM($E$12),'Ref Tables'!$H$2:$H$4,0)), NOT(ISBLANK($E$12)))</xm:f>
            <x14:dxf>
              <fill>
                <patternFill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0" id="{6DBD740C-DD9A-4383-8008-6E5C793C005A}">
            <xm:f>AND(ISERROR(MATCH(TRIM($E$13),'Ref Tables'!$H$2:$H$4,0)), NOT(ISBLANK($E$13)))</xm:f>
            <x14:dxf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1" id="{28A7CBED-1312-4560-AB05-CF77E8C257CB}">
            <xm:f>AND(ISERROR(MATCH(TRIM($E$14),'Ref Tables'!$H$2:$H$4,0)), NOT(ISBLANK($E$14)))</xm:f>
            <x14:dxf>
              <fill>
                <patternFill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" id="{583B6EDA-79D6-4CD9-B7F3-6720E6028954}">
            <xm:f>AND(ISERROR(MATCH(TRIM($E$15),'Ref Tables'!$H$2:$H$4,0)), NOT(ISBLANK($E$15)))</xm:f>
            <x14:dxf>
              <fill>
                <patternFill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3" id="{561E0100-F3F8-4794-89CB-C51D194672B8}">
            <xm:f>AND(ISERROR(MATCH(TRIM($E$16),'Ref Tables'!$H$2:$H$4,0)), NOT(ISBLANK($E$16)))</xm:f>
            <x14:dxf>
              <fill>
                <patternFill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4" id="{648BE29F-4590-4A2B-A23F-7C0F12AD3099}">
            <xm:f>AND(ISERROR(MATCH(TRIM($E$17),'Ref Tables'!$H$2:$H$4,0)), NOT(ISBLANK($E$17)))</xm:f>
            <x14:dxf>
              <fill>
                <patternFill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5" id="{784F3180-ACE5-4AD4-A864-921182BB8EEC}">
            <xm:f>AND(ISERROR(MATCH(TRIM($E$18),'Ref Tables'!$H$2:$H$4,0)), NOT(ISBLANK($E$18)))</xm:f>
            <x14:dxf>
              <fill>
                <patternFill>
                  <bgColor rgb="FFFF0000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6" id="{C80F015D-04DC-406A-970C-437E65917951}">
            <xm:f>AND(ISERROR(MATCH(VALUE(TRIM($F$7)),'Ref Tables'!$J$2:$J$8,0)), NOT(ISBLANK($F$7)))</xm:f>
            <x14:dxf>
              <fill>
                <patternFill>
                  <bgColor rgb="FFFF0000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27" id="{D44FAEFF-403D-48AA-A13C-19CF447CF6B5}">
            <xm:f>AND(ISERROR(MATCH(VALUE(TRIM($F$8)),'Ref Tables'!$J$2:$J$8,0)), NOT(ISBLANK($F$8)))</xm:f>
            <x14:dxf>
              <fill>
                <patternFill>
                  <bgColor rgb="FFFF0000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28" id="{62AE626C-D611-4ACE-A2E5-C6AF2FE3B8EE}">
            <xm:f>AND(ISERROR(MATCH(VALUE(TRIM($F$9)),'Ref Tables'!$J$2:$J$8,0)), NOT(ISBLANK($F$9)))</xm:f>
            <x14:dxf>
              <fill>
                <patternFill>
                  <bgColor rgb="FFFF0000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29" id="{D2FECC84-9444-421C-A022-5A945B08213E}">
            <xm:f>AND(ISERROR(MATCH(VALUE(TRIM($F$10)),'Ref Tables'!$J$2:$J$8,0)), NOT(ISBLANK($F$10)))</xm:f>
            <x14:dxf>
              <fill>
                <patternFill>
                  <bgColor rgb="FFFF0000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30" id="{9BDC9057-12C4-4FA3-8BE1-647E106E3F37}">
            <xm:f>AND(ISERROR(MATCH(VALUE(TRIM($F$11)),'Ref Tables'!$J$2:$J$8,0)), NOT(ISBLANK($F$11)))</xm:f>
            <x14:dxf>
              <fill>
                <patternFill>
                  <bgColor rgb="FFFF0000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31" id="{35E15049-CC59-4C6B-9C96-BB44479BCB22}">
            <xm:f>AND(ISERROR(MATCH(VALUE(TRIM($F$12)),'Ref Tables'!$J$2:$J$8,0)), NOT(ISBLANK($F$12)))</xm:f>
            <x14:dxf>
              <fill>
                <patternFill>
                  <bgColor rgb="FFFF000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32" id="{69C53070-660A-4ECE-8835-EB79ACF1535C}">
            <xm:f>AND(ISERROR(MATCH(VALUE(TRIM($F$13)),'Ref Tables'!$J$2:$J$8,0)), NOT(ISBLANK($F$13)))</xm:f>
            <x14:dxf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33" id="{057DB948-D955-4347-8F4F-E233893B89C7}">
            <xm:f>AND(ISERROR(MATCH(VALUE(TRIM($F$14)),'Ref Tables'!$J$2:$J$8,0)), NOT(ISBLANK($F$14)))</xm:f>
            <x14:dxf>
              <fill>
                <patternFill>
                  <bgColor rgb="FFFF0000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34" id="{20ABD35F-3E72-4E98-A0EA-BBACB61125F7}">
            <xm:f>AND(ISERROR(MATCH(VALUE(TRIM($F$15)),'Ref Tables'!$J$2:$J$8,0)), NOT(ISBLANK($F$15)))</xm:f>
            <x14:dxf>
              <fill>
                <patternFill>
                  <bgColor rgb="FFFF0000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35" id="{2DEF2B23-77CB-4BA2-83DF-B9BF96645AC8}">
            <xm:f>AND(ISERROR(MATCH(VALUE(TRIM($F$16)),'Ref Tables'!$J$2:$J$8,0)), NOT(ISBLANK($F$16)))</xm:f>
            <x14:dxf>
              <fill>
                <patternFill>
                  <bgColor rgb="FFFF0000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36" id="{93E11E4E-D172-402F-AA94-46051FFF0583}">
            <xm:f>AND(ISERROR(MATCH(VALUE(TRIM($F$17)),'Ref Tables'!$J$2:$J$8,0)), NOT(ISBLANK($F$17)))</xm:f>
            <x14:dxf>
              <fill>
                <patternFill>
                  <bgColor rgb="FFFF0000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37" id="{E64E4DF0-5976-4C1E-81F6-B66753579363}">
            <xm:f>AND(ISERROR(MATCH(VALUE(TRIM($F$18)),'Ref Tables'!$J$2:$J$8,0)), NOT(ISBLANK($F$18)))</xm:f>
            <x14:dxf>
              <fill>
                <patternFill>
                  <bgColor rgb="FFFF0000"/>
                </patternFill>
              </fill>
            </x14:dxf>
          </x14:cfRule>
          <xm:sqref>F18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756579b-fe5e-48e4-aaf0-36f2911ede8d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D904D311434D4F8AD1F699476299D2" ma:contentTypeVersion="15" ma:contentTypeDescription="Create a new document." ma:contentTypeScope="" ma:versionID="dda5ce5bd0e6e1e870343f2beade6ba2">
  <xsd:schema xmlns:xsd="http://www.w3.org/2001/XMLSchema" xmlns:xs="http://www.w3.org/2001/XMLSchema" xmlns:p="http://schemas.microsoft.com/office/2006/metadata/properties" xmlns:ns2="e756579b-fe5e-48e4-aaf0-36f2911ede8d" xmlns:ns3="933c84a1-67b0-45c5-92de-5b26fbf5eec4" targetNamespace="http://schemas.microsoft.com/office/2006/metadata/properties" ma:root="true" ma:fieldsID="a705571e77a8a407836820897a355539" ns2:_="" ns3:_="">
    <xsd:import namespace="e756579b-fe5e-48e4-aaf0-36f2911ede8d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56579b-fe5e-48e4-aaf0-36f2911ede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b365bc1-618f-459a-bfdd-4f64070ea9a1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536978-39FC-4C2D-AC27-BFA0E7BF6EB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B9E586-51EB-48AD-A4B7-DF20D4B411C9}">
  <ds:schemaRefs>
    <ds:schemaRef ds:uri="http://schemas.microsoft.com/office/2006/metadata/properties"/>
    <ds:schemaRef ds:uri="http://schemas.microsoft.com/office/infopath/2007/PartnerControls"/>
    <ds:schemaRef ds:uri="e756579b-fe5e-48e4-aaf0-36f2911ede8d"/>
    <ds:schemaRef ds:uri="933c84a1-67b0-45c5-92de-5b26fbf5eec4"/>
  </ds:schemaRefs>
</ds:datastoreItem>
</file>

<file path=customXml/itemProps3.xml><?xml version="1.0" encoding="utf-8"?>
<ds:datastoreItem xmlns:ds="http://schemas.openxmlformats.org/officeDocument/2006/customXml" ds:itemID="{F37278B3-BDDD-4D79-B8DE-2049A9EEF4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56579b-fe5e-48e4-aaf0-36f2911ede8d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Ref Tables</vt:lpstr>
      <vt:lpstr>Change Log</vt:lpstr>
      <vt:lpstr>Report Page</vt:lpstr>
      <vt:lpstr>Roster Page</vt:lpstr>
      <vt:lpstr>Cover Page</vt:lpstr>
      <vt:lpstr>Activity 1</vt:lpstr>
      <vt:lpstr>Activity 2</vt:lpstr>
      <vt:lpstr>Activity 3</vt:lpstr>
      <vt:lpstr>Activity 4</vt:lpstr>
      <vt:lpstr>Activity 5</vt:lpstr>
      <vt:lpstr>Activity 6</vt:lpstr>
      <vt:lpstr>ActivitiesList</vt:lpstr>
      <vt:lpstr>CenterNames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2023-07-12T23:19:55Z</dcterms:created>
  <dcterms:modified xsi:type="dcterms:W3CDTF">2024-01-26T22:23:08Z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0x010100F2D904D311434D4F8AD1F699476299D2</vt:lpwstr>
  </property>
</Properties>
</file>